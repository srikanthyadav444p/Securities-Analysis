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SAGitHub\Securities Analysis\"/>
    </mc:Choice>
  </mc:AlternateContent>
  <xr:revisionPtr revIDLastSave="0" documentId="13_ncr:1_{639D327C-189D-4C3A-83FA-132C7BECE830}" xr6:coauthVersionLast="47" xr6:coauthVersionMax="47" xr10:uidLastSave="{00000000-0000-0000-0000-000000000000}"/>
  <bookViews>
    <workbookView xWindow="-120" yWindow="-120" windowWidth="20730" windowHeight="11160" tabRatio="500" firstSheet="7" activeTab="9" xr2:uid="{00000000-000D-0000-FFFF-FFFF00000000}"/>
  </bookViews>
  <sheets>
    <sheet name="Read Me" sheetId="1" r:id="rId1"/>
    <sheet name="Inputs" sheetId="2" r:id="rId2"/>
    <sheet name="Two-Asset Frontier Calculations" sheetId="3" r:id="rId3"/>
    <sheet name="Efficient Frontier Chart" sheetId="4" r:id="rId4"/>
    <sheet name="Correlation Demonstration" sheetId="5" r:id="rId5"/>
    <sheet name="Minimum Variance Portfolio" sheetId="6" r:id="rId6"/>
    <sheet name="Capital Market Line" sheetId="7" r:id="rId7"/>
    <sheet name="CAPM Calculator" sheetId="8" r:id="rId8"/>
    <sheet name="Security Market Line" sheetId="9" r:id="rId9"/>
    <sheet name="Dashboard"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39" i="9" l="1"/>
  <c r="G39" i="9" s="1"/>
  <c r="H39" i="9" s="1"/>
  <c r="M3" i="3"/>
  <c r="L3" i="3"/>
  <c r="N13" i="3"/>
  <c r="N12" i="3"/>
  <c r="J12" i="3"/>
  <c r="K12" i="3"/>
  <c r="M12" i="3"/>
  <c r="K21" i="3"/>
  <c r="J21" i="3"/>
  <c r="J19" i="3"/>
  <c r="I3" i="3"/>
  <c r="H3" i="3"/>
  <c r="G3" i="3"/>
  <c r="B5" i="3"/>
  <c r="B3" i="3"/>
  <c r="D10" i="10"/>
  <c r="D9" i="10"/>
  <c r="D8" i="10"/>
  <c r="D7" i="10"/>
  <c r="D6" i="10"/>
  <c r="D5" i="10"/>
  <c r="D4" i="10"/>
  <c r="F38" i="9"/>
  <c r="G38" i="9" s="1"/>
  <c r="H38" i="9" s="1"/>
  <c r="H37" i="9"/>
  <c r="G37" i="9"/>
  <c r="F37" i="9"/>
  <c r="D33" i="9"/>
  <c r="D32" i="9"/>
  <c r="D30" i="9"/>
  <c r="C30" i="9"/>
  <c r="D29" i="9"/>
  <c r="C29" i="9"/>
  <c r="D28" i="9"/>
  <c r="C28" i="9"/>
  <c r="D27" i="9"/>
  <c r="C27" i="9"/>
  <c r="D26" i="9"/>
  <c r="C26" i="9"/>
  <c r="D25" i="9"/>
  <c r="C25" i="9"/>
  <c r="D24" i="9"/>
  <c r="C24" i="9"/>
  <c r="D23" i="9"/>
  <c r="C23" i="9"/>
  <c r="D22" i="9"/>
  <c r="C22" i="9"/>
  <c r="D21" i="9"/>
  <c r="C21" i="9"/>
  <c r="D20" i="9"/>
  <c r="C20" i="9"/>
  <c r="D19" i="9"/>
  <c r="C19" i="9"/>
  <c r="D18" i="9"/>
  <c r="C18" i="9"/>
  <c r="D17" i="9"/>
  <c r="C17" i="9"/>
  <c r="D16" i="9"/>
  <c r="C16" i="9"/>
  <c r="D15" i="9"/>
  <c r="C15" i="9"/>
  <c r="D14" i="9"/>
  <c r="C14" i="9"/>
  <c r="D13" i="9"/>
  <c r="C13" i="9"/>
  <c r="D12" i="9"/>
  <c r="C12" i="9"/>
  <c r="D11" i="9"/>
  <c r="C11" i="9"/>
  <c r="D10" i="9"/>
  <c r="C10" i="9"/>
  <c r="D6" i="9"/>
  <c r="D4" i="9"/>
  <c r="E15" i="8"/>
  <c r="E14" i="8"/>
  <c r="E13" i="8"/>
  <c r="E12" i="8"/>
  <c r="E11" i="8"/>
  <c r="E10" i="8"/>
  <c r="D6" i="8"/>
  <c r="D5" i="8"/>
  <c r="D4" i="8"/>
  <c r="K33" i="7"/>
  <c r="F17" i="7"/>
  <c r="G16" i="7"/>
  <c r="D10" i="7"/>
  <c r="D16" i="6"/>
  <c r="G8" i="10" s="1"/>
  <c r="D15" i="6"/>
  <c r="G7" i="10" s="1"/>
  <c r="D11" i="6"/>
  <c r="D8" i="6"/>
  <c r="D7" i="6"/>
  <c r="D6" i="6"/>
  <c r="D5" i="6"/>
  <c r="D4" i="6"/>
  <c r="H103" i="5"/>
  <c r="G103" i="5"/>
  <c r="F103" i="5"/>
  <c r="E103" i="5"/>
  <c r="D103" i="5"/>
  <c r="C103" i="5"/>
  <c r="B103" i="5"/>
  <c r="I103" i="5" s="1"/>
  <c r="C102" i="5"/>
  <c r="D102" i="5" s="1"/>
  <c r="B102" i="5"/>
  <c r="I101" i="5"/>
  <c r="H101" i="5"/>
  <c r="C101" i="5"/>
  <c r="B101" i="5"/>
  <c r="E101" i="5" s="1"/>
  <c r="H100" i="5"/>
  <c r="G100" i="5"/>
  <c r="F100" i="5"/>
  <c r="E100" i="5"/>
  <c r="D100" i="5"/>
  <c r="C100" i="5"/>
  <c r="B100" i="5"/>
  <c r="I100" i="5" s="1"/>
  <c r="B99" i="5"/>
  <c r="I98" i="5"/>
  <c r="H98" i="5"/>
  <c r="D98" i="5"/>
  <c r="C98" i="5"/>
  <c r="B98" i="5"/>
  <c r="E98" i="5" s="1"/>
  <c r="B97" i="5"/>
  <c r="H96" i="5"/>
  <c r="G96" i="5"/>
  <c r="D96" i="5"/>
  <c r="C96" i="5"/>
  <c r="B96" i="5"/>
  <c r="I95" i="5"/>
  <c r="H95" i="5"/>
  <c r="C95" i="5"/>
  <c r="B95" i="5"/>
  <c r="E95" i="5" s="1"/>
  <c r="B94" i="5"/>
  <c r="B93" i="5"/>
  <c r="I92" i="5"/>
  <c r="C92" i="5"/>
  <c r="B92" i="5"/>
  <c r="B91" i="5"/>
  <c r="B90" i="5"/>
  <c r="I89" i="5"/>
  <c r="H89" i="5"/>
  <c r="D89" i="5"/>
  <c r="C89" i="5"/>
  <c r="B89" i="5"/>
  <c r="E89" i="5" s="1"/>
  <c r="B88" i="5"/>
  <c r="H87" i="5"/>
  <c r="G87" i="5"/>
  <c r="D87" i="5"/>
  <c r="C87" i="5"/>
  <c r="B87" i="5"/>
  <c r="I86" i="5"/>
  <c r="H86" i="5"/>
  <c r="C86" i="5"/>
  <c r="B86" i="5"/>
  <c r="E86" i="5" s="1"/>
  <c r="B85" i="5"/>
  <c r="B84" i="5"/>
  <c r="C83" i="5"/>
  <c r="B83" i="5"/>
  <c r="B82" i="5"/>
  <c r="B81" i="5"/>
  <c r="I80" i="5"/>
  <c r="H80" i="5"/>
  <c r="D80" i="5"/>
  <c r="C80" i="5"/>
  <c r="B80" i="5"/>
  <c r="E80" i="5" s="1"/>
  <c r="B79" i="5"/>
  <c r="H78" i="5"/>
  <c r="G78" i="5"/>
  <c r="D78" i="5"/>
  <c r="C78" i="5"/>
  <c r="B78" i="5"/>
  <c r="I77" i="5"/>
  <c r="H77" i="5"/>
  <c r="C77" i="5"/>
  <c r="B77" i="5"/>
  <c r="E77" i="5" s="1"/>
  <c r="B76" i="5"/>
  <c r="B75" i="5"/>
  <c r="I74" i="5"/>
  <c r="C74" i="5"/>
  <c r="B74" i="5"/>
  <c r="B73" i="5"/>
  <c r="B72" i="5"/>
  <c r="I71" i="5"/>
  <c r="H71" i="5"/>
  <c r="D71" i="5"/>
  <c r="C71" i="5"/>
  <c r="B71" i="5"/>
  <c r="E71" i="5" s="1"/>
  <c r="B70" i="5"/>
  <c r="H69" i="5"/>
  <c r="G69" i="5"/>
  <c r="D69" i="5"/>
  <c r="C69" i="5"/>
  <c r="B69" i="5"/>
  <c r="I68" i="5"/>
  <c r="H68" i="5"/>
  <c r="C68" i="5"/>
  <c r="B68" i="5"/>
  <c r="B67" i="5"/>
  <c r="B66" i="5"/>
  <c r="C65" i="5"/>
  <c r="B65" i="5"/>
  <c r="E65" i="5" s="1"/>
  <c r="B64" i="5"/>
  <c r="B63" i="5"/>
  <c r="I62" i="5"/>
  <c r="H62" i="5"/>
  <c r="D62" i="5"/>
  <c r="C62" i="5"/>
  <c r="B62" i="5"/>
  <c r="E62" i="5" s="1"/>
  <c r="B61" i="5"/>
  <c r="H60" i="5"/>
  <c r="G60" i="5"/>
  <c r="D60" i="5"/>
  <c r="C60" i="5"/>
  <c r="B60" i="5"/>
  <c r="C59" i="5"/>
  <c r="B59" i="5"/>
  <c r="B58" i="5"/>
  <c r="B57" i="5"/>
  <c r="I56" i="5"/>
  <c r="C56" i="5"/>
  <c r="B56" i="5"/>
  <c r="E56" i="5" s="1"/>
  <c r="B55" i="5"/>
  <c r="B54" i="5"/>
  <c r="I53" i="5"/>
  <c r="H53" i="5"/>
  <c r="D53" i="5"/>
  <c r="C53" i="5"/>
  <c r="B53" i="5"/>
  <c r="E53" i="5" s="1"/>
  <c r="B52" i="5"/>
  <c r="H51" i="5"/>
  <c r="G51" i="5"/>
  <c r="D51" i="5"/>
  <c r="C51" i="5"/>
  <c r="B51" i="5"/>
  <c r="C50" i="5"/>
  <c r="B50" i="5"/>
  <c r="B49" i="5"/>
  <c r="B48" i="5"/>
  <c r="D47" i="5"/>
  <c r="C47" i="5"/>
  <c r="B47" i="5"/>
  <c r="G47" i="5" s="1"/>
  <c r="B46" i="5"/>
  <c r="B45" i="5"/>
  <c r="I44" i="5"/>
  <c r="D44" i="5"/>
  <c r="C44" i="5"/>
  <c r="B44" i="5"/>
  <c r="B43" i="5"/>
  <c r="B42" i="5"/>
  <c r="I41" i="5"/>
  <c r="H41" i="5"/>
  <c r="F41" i="5"/>
  <c r="C41" i="5"/>
  <c r="D41" i="5" s="1"/>
  <c r="B41" i="5"/>
  <c r="G41" i="5" s="1"/>
  <c r="B40" i="5"/>
  <c r="B39" i="5"/>
  <c r="I38" i="5"/>
  <c r="H38" i="5"/>
  <c r="F38" i="5"/>
  <c r="D38" i="5"/>
  <c r="C38" i="5"/>
  <c r="B38" i="5"/>
  <c r="G38" i="5" s="1"/>
  <c r="B37" i="5"/>
  <c r="B36" i="5"/>
  <c r="B35" i="5"/>
  <c r="B34" i="5"/>
  <c r="B33" i="5"/>
  <c r="B32" i="5"/>
  <c r="B31" i="5"/>
  <c r="B30" i="5"/>
  <c r="B29" i="5"/>
  <c r="B28" i="5"/>
  <c r="B27" i="5"/>
  <c r="H26" i="5"/>
  <c r="F26" i="5"/>
  <c r="C26" i="5"/>
  <c r="B26" i="5"/>
  <c r="B25" i="5"/>
  <c r="B24" i="5"/>
  <c r="H23" i="5"/>
  <c r="G23" i="5"/>
  <c r="F23" i="5"/>
  <c r="D23" i="5"/>
  <c r="C23" i="5"/>
  <c r="B23" i="5"/>
  <c r="B22" i="5"/>
  <c r="B21" i="5"/>
  <c r="C20" i="5"/>
  <c r="F20" i="5" s="1"/>
  <c r="B20" i="5"/>
  <c r="H19" i="5"/>
  <c r="G19" i="5"/>
  <c r="F19" i="5"/>
  <c r="D19" i="5"/>
  <c r="C19" i="5"/>
  <c r="B19" i="5"/>
  <c r="B18" i="5"/>
  <c r="D17" i="5"/>
  <c r="C17" i="5"/>
  <c r="B17" i="5"/>
  <c r="B16" i="5"/>
  <c r="B15" i="5"/>
  <c r="C14" i="5"/>
  <c r="H14" i="5" s="1"/>
  <c r="B14" i="5"/>
  <c r="B13" i="5"/>
  <c r="B12" i="5"/>
  <c r="B11" i="5"/>
  <c r="B10" i="5"/>
  <c r="B9" i="5"/>
  <c r="B8" i="5"/>
  <c r="B7" i="5"/>
  <c r="B6" i="5"/>
  <c r="G5" i="5"/>
  <c r="F5" i="5"/>
  <c r="D5" i="5"/>
  <c r="C5" i="5"/>
  <c r="H5" i="5" s="1"/>
  <c r="B5" i="5"/>
  <c r="B4" i="5"/>
  <c r="B3" i="5"/>
  <c r="B103" i="3"/>
  <c r="C102" i="3"/>
  <c r="B102" i="3"/>
  <c r="H101" i="3"/>
  <c r="G101" i="3"/>
  <c r="C101" i="3"/>
  <c r="E101" i="3" s="1"/>
  <c r="B101" i="3"/>
  <c r="F101" i="3" s="1"/>
  <c r="B100" i="3"/>
  <c r="B99" i="3"/>
  <c r="C98" i="3"/>
  <c r="F98" i="3" s="1"/>
  <c r="G98" i="3" s="1"/>
  <c r="L98" i="3" s="1"/>
  <c r="B98" i="3"/>
  <c r="B97" i="3"/>
  <c r="B96" i="3"/>
  <c r="F95" i="3"/>
  <c r="G95" i="3" s="1"/>
  <c r="E95" i="3"/>
  <c r="H95" i="3" s="1"/>
  <c r="D95" i="3"/>
  <c r="C95" i="3"/>
  <c r="B95" i="3"/>
  <c r="C94" i="3"/>
  <c r="B94" i="3"/>
  <c r="B93" i="3"/>
  <c r="B92" i="3"/>
  <c r="B91" i="3"/>
  <c r="B90" i="3"/>
  <c r="B89" i="3"/>
  <c r="C88" i="3"/>
  <c r="D88" i="3" s="1"/>
  <c r="B88" i="3"/>
  <c r="B87" i="3"/>
  <c r="B86" i="3"/>
  <c r="B85" i="3"/>
  <c r="B84" i="3"/>
  <c r="D83" i="3"/>
  <c r="C83" i="3"/>
  <c r="B83" i="3"/>
  <c r="B82" i="3"/>
  <c r="B81" i="3"/>
  <c r="B80" i="3"/>
  <c r="C79" i="3"/>
  <c r="D79" i="3" s="1"/>
  <c r="B79" i="3"/>
  <c r="B78" i="3"/>
  <c r="B77" i="3"/>
  <c r="C76" i="3"/>
  <c r="B76" i="3"/>
  <c r="B75" i="3"/>
  <c r="B74" i="3"/>
  <c r="B73" i="3"/>
  <c r="B72" i="3"/>
  <c r="I71" i="3"/>
  <c r="E71" i="3"/>
  <c r="H71" i="3" s="1"/>
  <c r="D71" i="3"/>
  <c r="C71" i="3"/>
  <c r="F71" i="3" s="1"/>
  <c r="G71" i="3" s="1"/>
  <c r="B71" i="3"/>
  <c r="F70" i="3"/>
  <c r="G70" i="3" s="1"/>
  <c r="E70" i="3"/>
  <c r="D70" i="3"/>
  <c r="C70" i="3"/>
  <c r="B70" i="3"/>
  <c r="B69" i="3"/>
  <c r="C69" i="3" s="1"/>
  <c r="D69" i="3" s="1"/>
  <c r="B68" i="3"/>
  <c r="B67" i="3"/>
  <c r="B66" i="3"/>
  <c r="B65" i="3"/>
  <c r="B64" i="3"/>
  <c r="B63" i="3"/>
  <c r="B62" i="3"/>
  <c r="B61" i="3"/>
  <c r="B60" i="3"/>
  <c r="C60" i="3" s="1"/>
  <c r="E59" i="3"/>
  <c r="D59" i="3"/>
  <c r="C59" i="3"/>
  <c r="F59" i="3" s="1"/>
  <c r="G59" i="3" s="1"/>
  <c r="B59" i="3"/>
  <c r="F58" i="3"/>
  <c r="G58" i="3" s="1"/>
  <c r="E58" i="3"/>
  <c r="D58" i="3"/>
  <c r="M58" i="3" s="1"/>
  <c r="C58" i="3"/>
  <c r="B58" i="3"/>
  <c r="E57" i="3"/>
  <c r="D57" i="3"/>
  <c r="M57" i="3" s="1"/>
  <c r="B57" i="3"/>
  <c r="C57" i="3" s="1"/>
  <c r="F57" i="3" s="1"/>
  <c r="G57" i="3" s="1"/>
  <c r="M56" i="3"/>
  <c r="F56" i="3"/>
  <c r="G56" i="3" s="1"/>
  <c r="E56" i="3"/>
  <c r="H56" i="3" s="1"/>
  <c r="C56" i="3"/>
  <c r="B56" i="3"/>
  <c r="D56" i="3" s="1"/>
  <c r="B55" i="3"/>
  <c r="B54" i="3"/>
  <c r="B53" i="3"/>
  <c r="D52" i="3"/>
  <c r="M52" i="3" s="1"/>
  <c r="C52" i="3"/>
  <c r="B52" i="3"/>
  <c r="B51" i="3"/>
  <c r="C50" i="3"/>
  <c r="B50" i="3"/>
  <c r="F50" i="3" s="1"/>
  <c r="G50" i="3" s="1"/>
  <c r="B49" i="3"/>
  <c r="B48" i="3"/>
  <c r="C48" i="3" s="1"/>
  <c r="B47" i="3"/>
  <c r="D46" i="3"/>
  <c r="M46" i="3" s="1"/>
  <c r="C46" i="3"/>
  <c r="F46" i="3" s="1"/>
  <c r="G46" i="3" s="1"/>
  <c r="B46" i="3"/>
  <c r="B45" i="3"/>
  <c r="C45" i="3" s="1"/>
  <c r="F45" i="3" s="1"/>
  <c r="G45" i="3" s="1"/>
  <c r="E44" i="3"/>
  <c r="C44" i="3"/>
  <c r="B44" i="3"/>
  <c r="M43" i="3"/>
  <c r="D43" i="3"/>
  <c r="C43" i="3"/>
  <c r="B43" i="3"/>
  <c r="M42" i="3"/>
  <c r="D42" i="3"/>
  <c r="C42" i="3"/>
  <c r="B42" i="3"/>
  <c r="M41" i="3"/>
  <c r="D41" i="3"/>
  <c r="C41" i="3"/>
  <c r="B41" i="3"/>
  <c r="F41" i="3" s="1"/>
  <c r="G41" i="3" s="1"/>
  <c r="M40" i="3"/>
  <c r="D40" i="3"/>
  <c r="I40" i="3" s="1"/>
  <c r="C40" i="3"/>
  <c r="B40" i="3"/>
  <c r="F40" i="3" s="1"/>
  <c r="G40" i="3" s="1"/>
  <c r="B39" i="3"/>
  <c r="C38" i="3"/>
  <c r="B38" i="3"/>
  <c r="F38" i="3" s="1"/>
  <c r="G38" i="3" s="1"/>
  <c r="M37" i="3"/>
  <c r="D37" i="3"/>
  <c r="C37" i="3"/>
  <c r="F37" i="3" s="1"/>
  <c r="G37" i="3" s="1"/>
  <c r="B37" i="3"/>
  <c r="E37" i="3" s="1"/>
  <c r="H37" i="3" s="1"/>
  <c r="B36" i="3"/>
  <c r="B35" i="3"/>
  <c r="C34" i="3"/>
  <c r="F34" i="3" s="1"/>
  <c r="G34" i="3" s="1"/>
  <c r="B34" i="3"/>
  <c r="B33" i="3"/>
  <c r="C33" i="3" s="1"/>
  <c r="B32" i="3"/>
  <c r="B31" i="3"/>
  <c r="B30" i="3"/>
  <c r="B29" i="3"/>
  <c r="C28" i="3"/>
  <c r="D28" i="3" s="1"/>
  <c r="B28" i="3"/>
  <c r="F28" i="3" s="1"/>
  <c r="G28" i="3" s="1"/>
  <c r="B27" i="3"/>
  <c r="C26" i="3"/>
  <c r="B26" i="3"/>
  <c r="F26" i="3" s="1"/>
  <c r="G26" i="3" s="1"/>
  <c r="M25" i="3"/>
  <c r="D25" i="3"/>
  <c r="C25" i="3"/>
  <c r="F25" i="3" s="1"/>
  <c r="G25" i="3" s="1"/>
  <c r="B25" i="3"/>
  <c r="B24" i="3"/>
  <c r="B23" i="3"/>
  <c r="C22" i="3"/>
  <c r="B22" i="3"/>
  <c r="B21" i="3"/>
  <c r="C21" i="3" s="1"/>
  <c r="D21" i="3" s="1"/>
  <c r="B20" i="3"/>
  <c r="B19" i="3"/>
  <c r="B18" i="3"/>
  <c r="B17" i="3"/>
  <c r="B16" i="3"/>
  <c r="B15" i="3"/>
  <c r="C14" i="3"/>
  <c r="B14" i="3"/>
  <c r="F14" i="3" s="1"/>
  <c r="G14" i="3" s="1"/>
  <c r="M13" i="3"/>
  <c r="D13" i="3"/>
  <c r="C13" i="3"/>
  <c r="F13" i="3" s="1"/>
  <c r="G13" i="3" s="1"/>
  <c r="B13" i="3"/>
  <c r="B12" i="3"/>
  <c r="B11" i="3"/>
  <c r="C10" i="3"/>
  <c r="B10" i="3"/>
  <c r="D9" i="3"/>
  <c r="B9" i="3"/>
  <c r="C9" i="3" s="1"/>
  <c r="B8" i="3"/>
  <c r="F7" i="3"/>
  <c r="G7" i="3" s="1"/>
  <c r="C7" i="3"/>
  <c r="B7" i="3"/>
  <c r="E7" i="3" s="1"/>
  <c r="B6" i="3"/>
  <c r="B4" i="3"/>
  <c r="D26" i="2"/>
  <c r="M21" i="3" l="1"/>
  <c r="L26" i="3"/>
  <c r="L38" i="3"/>
  <c r="L46" i="3"/>
  <c r="M79" i="3"/>
  <c r="M88" i="3"/>
  <c r="D33" i="3"/>
  <c r="F33" i="3"/>
  <c r="G33" i="3" s="1"/>
  <c r="E33" i="3"/>
  <c r="H58" i="3"/>
  <c r="H7" i="3"/>
  <c r="D22" i="3"/>
  <c r="F22" i="3"/>
  <c r="G22" i="3" s="1"/>
  <c r="E22" i="3"/>
  <c r="L58" i="3"/>
  <c r="C23" i="3"/>
  <c r="F23" i="3" s="1"/>
  <c r="G23" i="3" s="1"/>
  <c r="L34" i="3"/>
  <c r="L40" i="3"/>
  <c r="F48" i="3"/>
  <c r="G48" i="3" s="1"/>
  <c r="E48" i="3"/>
  <c r="D48" i="3"/>
  <c r="E21" i="3"/>
  <c r="F21" i="3"/>
  <c r="G21" i="3" s="1"/>
  <c r="L28" i="3"/>
  <c r="L59" i="3"/>
  <c r="L7" i="3"/>
  <c r="I28" i="3"/>
  <c r="M28" i="3"/>
  <c r="L50" i="3"/>
  <c r="L56" i="3"/>
  <c r="I56" i="3"/>
  <c r="L13" i="3"/>
  <c r="H59" i="3"/>
  <c r="E9" i="3"/>
  <c r="F9" i="3"/>
  <c r="G9" i="3" s="1"/>
  <c r="E19" i="3"/>
  <c r="H19" i="3" s="1"/>
  <c r="L41" i="3"/>
  <c r="L57" i="3"/>
  <c r="F60" i="3"/>
  <c r="G60" i="3" s="1"/>
  <c r="E60" i="3"/>
  <c r="D60" i="3"/>
  <c r="C11" i="3"/>
  <c r="F11" i="3"/>
  <c r="G11" i="3" s="1"/>
  <c r="E11" i="3"/>
  <c r="D11" i="3"/>
  <c r="M9" i="3"/>
  <c r="E31" i="3"/>
  <c r="H31" i="3" s="1"/>
  <c r="I41" i="3"/>
  <c r="H57" i="3"/>
  <c r="D53" i="3"/>
  <c r="L14" i="3"/>
  <c r="D10" i="3"/>
  <c r="F10" i="3"/>
  <c r="G10" i="3" s="1"/>
  <c r="E10" i="3"/>
  <c r="H10" i="3" s="1"/>
  <c r="L25" i="3"/>
  <c r="L37" i="3"/>
  <c r="L45" i="3"/>
  <c r="F76" i="3"/>
  <c r="G76" i="3" s="1"/>
  <c r="E76" i="3"/>
  <c r="D34" i="3"/>
  <c r="C35" i="3"/>
  <c r="D35" i="3" s="1"/>
  <c r="C47" i="3"/>
  <c r="D47" i="3" s="1"/>
  <c r="C53" i="3"/>
  <c r="D67" i="3"/>
  <c r="C67" i="3"/>
  <c r="F67" i="3" s="1"/>
  <c r="G67" i="3" s="1"/>
  <c r="D76" i="3"/>
  <c r="C81" i="3"/>
  <c r="D81" i="3" s="1"/>
  <c r="D86" i="3"/>
  <c r="F86" i="3"/>
  <c r="G86" i="3" s="1"/>
  <c r="C91" i="3"/>
  <c r="D91" i="3" s="1"/>
  <c r="M95" i="3"/>
  <c r="I95" i="3"/>
  <c r="F11" i="5"/>
  <c r="C11" i="5"/>
  <c r="E11" i="5" s="1"/>
  <c r="F88" i="3"/>
  <c r="G88" i="3" s="1"/>
  <c r="E88" i="3"/>
  <c r="C12" i="3"/>
  <c r="F12" i="3" s="1"/>
  <c r="G12" i="3" s="1"/>
  <c r="C24" i="3"/>
  <c r="F24" i="3" s="1"/>
  <c r="G24" i="3" s="1"/>
  <c r="E34" i="3"/>
  <c r="H34" i="3" s="1"/>
  <c r="C36" i="3"/>
  <c r="F36" i="3" s="1"/>
  <c r="G36" i="3" s="1"/>
  <c r="F52" i="3"/>
  <c r="G52" i="3" s="1"/>
  <c r="C63" i="3"/>
  <c r="F63" i="3" s="1"/>
  <c r="G63" i="3" s="1"/>
  <c r="C74" i="3"/>
  <c r="E74" i="3" s="1"/>
  <c r="F79" i="3"/>
  <c r="G79" i="3" s="1"/>
  <c r="E79" i="3"/>
  <c r="H79" i="3" s="1"/>
  <c r="C86" i="3"/>
  <c r="E81" i="3"/>
  <c r="D12" i="3"/>
  <c r="D24" i="3"/>
  <c r="E35" i="3"/>
  <c r="M59" i="3"/>
  <c r="D63" i="3"/>
  <c r="E86" i="3"/>
  <c r="H86" i="3" s="1"/>
  <c r="F92" i="3"/>
  <c r="G92" i="3" s="1"/>
  <c r="I13" i="5"/>
  <c r="C13" i="5"/>
  <c r="E13" i="5" s="1"/>
  <c r="G13" i="5"/>
  <c r="F13" i="5"/>
  <c r="F53" i="3"/>
  <c r="G53" i="3" s="1"/>
  <c r="E53" i="3"/>
  <c r="H53" i="3" s="1"/>
  <c r="E12" i="3"/>
  <c r="E24" i="3"/>
  <c r="E63" i="3"/>
  <c r="F66" i="3"/>
  <c r="G66" i="3" s="1"/>
  <c r="E66" i="3"/>
  <c r="D66" i="3"/>
  <c r="M70" i="3"/>
  <c r="C72" i="3"/>
  <c r="F72" i="3" s="1"/>
  <c r="G72" i="3" s="1"/>
  <c r="C84" i="3"/>
  <c r="F84" i="3" s="1"/>
  <c r="G84" i="3" s="1"/>
  <c r="C92" i="3"/>
  <c r="E92" i="3" s="1"/>
  <c r="H92" i="3" s="1"/>
  <c r="D13" i="5"/>
  <c r="E13" i="3"/>
  <c r="H13" i="3" s="1"/>
  <c r="D14" i="3"/>
  <c r="C15" i="3"/>
  <c r="F15" i="3" s="1"/>
  <c r="G15" i="3" s="1"/>
  <c r="E25" i="3"/>
  <c r="H25" i="3" s="1"/>
  <c r="D26" i="3"/>
  <c r="C27" i="3"/>
  <c r="D27" i="3" s="1"/>
  <c r="D38" i="3"/>
  <c r="C39" i="3"/>
  <c r="F39" i="3" s="1"/>
  <c r="G39" i="3" s="1"/>
  <c r="F42" i="3"/>
  <c r="G42" i="3" s="1"/>
  <c r="E43" i="3"/>
  <c r="D44" i="3"/>
  <c r="D45" i="3"/>
  <c r="E46" i="3"/>
  <c r="H46" i="3" s="1"/>
  <c r="C51" i="3"/>
  <c r="F51" i="3" s="1"/>
  <c r="G51" i="3" s="1"/>
  <c r="E52" i="3"/>
  <c r="C62" i="3"/>
  <c r="F62" i="3" s="1"/>
  <c r="G62" i="3" s="1"/>
  <c r="C66" i="3"/>
  <c r="H70" i="3"/>
  <c r="D72" i="3"/>
  <c r="C77" i="3"/>
  <c r="D77" i="3" s="1"/>
  <c r="F82" i="3"/>
  <c r="G82" i="3" s="1"/>
  <c r="E82" i="3"/>
  <c r="H82" i="3" s="1"/>
  <c r="D84" i="3"/>
  <c r="C89" i="3"/>
  <c r="F89" i="3" s="1"/>
  <c r="G89" i="3" s="1"/>
  <c r="D92" i="3"/>
  <c r="I28" i="5"/>
  <c r="G59" i="5"/>
  <c r="F59" i="5"/>
  <c r="D59" i="5"/>
  <c r="I59" i="5"/>
  <c r="C3" i="3"/>
  <c r="E14" i="3"/>
  <c r="H14" i="3" s="1"/>
  <c r="D15" i="3"/>
  <c r="C16" i="3"/>
  <c r="E16" i="3" s="1"/>
  <c r="E26" i="3"/>
  <c r="H26" i="3" s="1"/>
  <c r="E38" i="3"/>
  <c r="H38" i="3" s="1"/>
  <c r="D39" i="3"/>
  <c r="E45" i="3"/>
  <c r="H45" i="3" s="1"/>
  <c r="I52" i="3"/>
  <c r="D62" i="3"/>
  <c r="L70" i="3"/>
  <c r="C75" i="3"/>
  <c r="D75" i="3" s="1"/>
  <c r="C82" i="3"/>
  <c r="D82" i="3" s="1"/>
  <c r="C87" i="3"/>
  <c r="D87" i="3" s="1"/>
  <c r="D89" i="3"/>
  <c r="C93" i="3"/>
  <c r="D93" i="3" s="1"/>
  <c r="E93" i="3"/>
  <c r="C28" i="5"/>
  <c r="E28" i="5" s="1"/>
  <c r="G50" i="5"/>
  <c r="H59" i="5"/>
  <c r="G74" i="5"/>
  <c r="F74" i="5"/>
  <c r="H74" i="5"/>
  <c r="D74" i="5"/>
  <c r="E15" i="3"/>
  <c r="C17" i="3"/>
  <c r="F17" i="3" s="1"/>
  <c r="G17" i="3" s="1"/>
  <c r="E27" i="3"/>
  <c r="C29" i="3"/>
  <c r="E29" i="3" s="1"/>
  <c r="E39" i="3"/>
  <c r="E51" i="3"/>
  <c r="E62" i="3"/>
  <c r="M69" i="3"/>
  <c r="I70" i="3"/>
  <c r="F80" i="3"/>
  <c r="G80" i="3" s="1"/>
  <c r="E80" i="3"/>
  <c r="H15" i="5"/>
  <c r="G15" i="5"/>
  <c r="F50" i="5"/>
  <c r="D50" i="5"/>
  <c r="I50" i="5"/>
  <c r="H50" i="5"/>
  <c r="C4" i="3"/>
  <c r="F4" i="3" s="1"/>
  <c r="G4" i="3" s="1"/>
  <c r="C5" i="3"/>
  <c r="E5" i="3" s="1"/>
  <c r="F3" i="3"/>
  <c r="E4" i="3"/>
  <c r="D5" i="3"/>
  <c r="C6" i="3"/>
  <c r="F6" i="3" s="1"/>
  <c r="G6" i="3" s="1"/>
  <c r="C18" i="3"/>
  <c r="F18" i="3" s="1"/>
  <c r="G18" i="3" s="1"/>
  <c r="E28" i="3"/>
  <c r="H28" i="3" s="1"/>
  <c r="D29" i="3"/>
  <c r="C30" i="3"/>
  <c r="D30" i="3" s="1"/>
  <c r="E40" i="3"/>
  <c r="H40" i="3" s="1"/>
  <c r="E41" i="3"/>
  <c r="H41" i="3" s="1"/>
  <c r="E42" i="3"/>
  <c r="H42" i="3" s="1"/>
  <c r="F43" i="3"/>
  <c r="G43" i="3" s="1"/>
  <c r="F44" i="3"/>
  <c r="G44" i="3" s="1"/>
  <c r="H44" i="3" s="1"/>
  <c r="D50" i="3"/>
  <c r="C55" i="3"/>
  <c r="F55" i="3" s="1"/>
  <c r="G55" i="3" s="1"/>
  <c r="I59" i="3"/>
  <c r="C61" i="3"/>
  <c r="F61" i="3" s="1"/>
  <c r="G61" i="3" s="1"/>
  <c r="C65" i="3"/>
  <c r="F65" i="3" s="1"/>
  <c r="G65" i="3" s="1"/>
  <c r="E69" i="3"/>
  <c r="E73" i="3"/>
  <c r="H73" i="3" s="1"/>
  <c r="F73" i="3"/>
  <c r="G73" i="3" s="1"/>
  <c r="C80" i="3"/>
  <c r="E87" i="3"/>
  <c r="C15" i="5"/>
  <c r="F15" i="5" s="1"/>
  <c r="I13" i="3"/>
  <c r="E17" i="3"/>
  <c r="D18" i="3"/>
  <c r="C19" i="3"/>
  <c r="F19" i="3" s="1"/>
  <c r="G19" i="3" s="1"/>
  <c r="I25" i="3"/>
  <c r="C31" i="3"/>
  <c r="F31" i="3" s="1"/>
  <c r="G31" i="3" s="1"/>
  <c r="I37" i="3"/>
  <c r="I46" i="3"/>
  <c r="C49" i="3"/>
  <c r="F49" i="3" s="1"/>
  <c r="G49" i="3" s="1"/>
  <c r="E50" i="3"/>
  <c r="H50" i="3" s="1"/>
  <c r="D61" i="3"/>
  <c r="D65" i="3"/>
  <c r="F69" i="3"/>
  <c r="G69" i="3" s="1"/>
  <c r="I69" i="3" s="1"/>
  <c r="C73" i="3"/>
  <c r="D80" i="3"/>
  <c r="C85" i="3"/>
  <c r="E85" i="3" s="1"/>
  <c r="F94" i="3"/>
  <c r="G94" i="3" s="1"/>
  <c r="E94" i="3"/>
  <c r="H94" i="3" s="1"/>
  <c r="G65" i="5"/>
  <c r="F65" i="5"/>
  <c r="H65" i="5"/>
  <c r="D65" i="5"/>
  <c r="I65" i="5"/>
  <c r="M83" i="3"/>
  <c r="E3" i="3"/>
  <c r="D7" i="3"/>
  <c r="C8" i="3"/>
  <c r="E18" i="3"/>
  <c r="D19" i="3"/>
  <c r="C20" i="3"/>
  <c r="D20" i="3" s="1"/>
  <c r="D31" i="3"/>
  <c r="C32" i="3"/>
  <c r="D32" i="3" s="1"/>
  <c r="F54" i="3"/>
  <c r="G54" i="3" s="1"/>
  <c r="D54" i="3"/>
  <c r="I58" i="3"/>
  <c r="E61" i="3"/>
  <c r="L71" i="3"/>
  <c r="D73" i="3"/>
  <c r="C78" i="3"/>
  <c r="D78" i="3" s="1"/>
  <c r="F83" i="3"/>
  <c r="G83" i="3" s="1"/>
  <c r="E83" i="3"/>
  <c r="H83" i="3" s="1"/>
  <c r="C90" i="3"/>
  <c r="D90" i="3" s="1"/>
  <c r="D94" i="3"/>
  <c r="I17" i="5"/>
  <c r="C54" i="3"/>
  <c r="E54" i="3" s="1"/>
  <c r="H54" i="3" s="1"/>
  <c r="I57" i="3"/>
  <c r="C64" i="3"/>
  <c r="M71" i="3"/>
  <c r="H17" i="5"/>
  <c r="F17" i="5"/>
  <c r="L95" i="3"/>
  <c r="C99" i="3"/>
  <c r="D99" i="3" s="1"/>
  <c r="D103" i="3"/>
  <c r="I7" i="5"/>
  <c r="G7" i="5"/>
  <c r="I9" i="5"/>
  <c r="F9" i="5"/>
  <c r="E26" i="5"/>
  <c r="G26" i="5"/>
  <c r="H47" i="5"/>
  <c r="F47" i="5"/>
  <c r="G56" i="5"/>
  <c r="F56" i="5"/>
  <c r="H56" i="5"/>
  <c r="D56" i="5"/>
  <c r="C81" i="5"/>
  <c r="G81" i="5" s="1"/>
  <c r="E99" i="3"/>
  <c r="C103" i="3"/>
  <c r="C7" i="5"/>
  <c r="C9" i="5"/>
  <c r="H9" i="5" s="1"/>
  <c r="C22" i="5"/>
  <c r="G22" i="5" s="1"/>
  <c r="F66" i="5"/>
  <c r="E66" i="5"/>
  <c r="I66" i="5"/>
  <c r="H66" i="5"/>
  <c r="C66" i="5"/>
  <c r="G66" i="5" s="1"/>
  <c r="E103" i="3"/>
  <c r="E3" i="5"/>
  <c r="I3" i="5"/>
  <c r="C3" i="5"/>
  <c r="D7" i="5"/>
  <c r="D9" i="5"/>
  <c r="E20" i="5"/>
  <c r="D20" i="5"/>
  <c r="D22" i="5"/>
  <c r="C24" i="5"/>
  <c r="E24" i="5" s="1"/>
  <c r="D26" i="5"/>
  <c r="H44" i="5"/>
  <c r="F44" i="5"/>
  <c r="I47" i="5"/>
  <c r="F57" i="5"/>
  <c r="C57" i="5"/>
  <c r="D66" i="5"/>
  <c r="F72" i="5"/>
  <c r="E72" i="5"/>
  <c r="C72" i="5"/>
  <c r="E102" i="3"/>
  <c r="H102" i="3" s="1"/>
  <c r="F103" i="3"/>
  <c r="G103" i="3" s="1"/>
  <c r="E7" i="5"/>
  <c r="I16" i="5"/>
  <c r="G16" i="5"/>
  <c r="E18" i="5"/>
  <c r="I18" i="5"/>
  <c r="F18" i="5"/>
  <c r="C36" i="5"/>
  <c r="E36" i="5" s="1"/>
  <c r="F48" i="5"/>
  <c r="E48" i="5"/>
  <c r="C48" i="5"/>
  <c r="D48" i="5" s="1"/>
  <c r="F63" i="5"/>
  <c r="E63" i="5"/>
  <c r="I63" i="5"/>
  <c r="D63" i="5"/>
  <c r="C63" i="5"/>
  <c r="G63" i="5" s="1"/>
  <c r="D98" i="3"/>
  <c r="F7" i="5"/>
  <c r="C16" i="5"/>
  <c r="E16" i="5" s="1"/>
  <c r="C18" i="5"/>
  <c r="D29" i="5"/>
  <c r="C29" i="5"/>
  <c r="G29" i="5" s="1"/>
  <c r="D36" i="5"/>
  <c r="E54" i="5"/>
  <c r="I54" i="5"/>
  <c r="D54" i="5"/>
  <c r="C54" i="5"/>
  <c r="F54" i="5" s="1"/>
  <c r="C97" i="3"/>
  <c r="F97" i="3" s="1"/>
  <c r="G97" i="3" s="1"/>
  <c r="D102" i="3"/>
  <c r="H7" i="5"/>
  <c r="C12" i="5"/>
  <c r="D12" i="5" s="1"/>
  <c r="D16" i="5"/>
  <c r="D18" i="5"/>
  <c r="G20" i="5"/>
  <c r="G24" i="5"/>
  <c r="I26" i="5"/>
  <c r="F29" i="5"/>
  <c r="I34" i="5"/>
  <c r="C34" i="5"/>
  <c r="D34" i="5" s="1"/>
  <c r="E45" i="5"/>
  <c r="I45" i="5"/>
  <c r="G48" i="5"/>
  <c r="G54" i="5"/>
  <c r="H63" i="5"/>
  <c r="F90" i="5"/>
  <c r="E90" i="5"/>
  <c r="C90" i="5"/>
  <c r="I90" i="5" s="1"/>
  <c r="H90" i="5"/>
  <c r="F102" i="3"/>
  <c r="G102" i="3" s="1"/>
  <c r="H3" i="5"/>
  <c r="G8" i="5"/>
  <c r="C10" i="5"/>
  <c r="H10" i="5" s="1"/>
  <c r="D14" i="5"/>
  <c r="G18" i="5"/>
  <c r="H20" i="5"/>
  <c r="H22" i="5"/>
  <c r="E27" i="5"/>
  <c r="I27" i="5"/>
  <c r="F27" i="5"/>
  <c r="D27" i="5"/>
  <c r="F42" i="5"/>
  <c r="E42" i="5"/>
  <c r="I42" i="5"/>
  <c r="G42" i="5"/>
  <c r="D42" i="5"/>
  <c r="C45" i="5"/>
  <c r="H45" i="5" s="1"/>
  <c r="H54" i="5"/>
  <c r="G83" i="5"/>
  <c r="F83" i="5"/>
  <c r="H83" i="5"/>
  <c r="D83" i="5"/>
  <c r="C68" i="3"/>
  <c r="C96" i="3"/>
  <c r="D96" i="3" s="1"/>
  <c r="E97" i="3"/>
  <c r="I4" i="5"/>
  <c r="C4" i="5"/>
  <c r="E6" i="5"/>
  <c r="I6" i="5"/>
  <c r="H6" i="5"/>
  <c r="C8" i="5"/>
  <c r="D8" i="5" s="1"/>
  <c r="F14" i="5"/>
  <c r="F16" i="5"/>
  <c r="H18" i="5"/>
  <c r="I20" i="5"/>
  <c r="C25" i="5"/>
  <c r="G25" i="5" s="1"/>
  <c r="C27" i="5"/>
  <c r="H27" i="5" s="1"/>
  <c r="E32" i="5"/>
  <c r="C32" i="5"/>
  <c r="G32" i="5" s="1"/>
  <c r="F34" i="5"/>
  <c r="C42" i="5"/>
  <c r="I83" i="5"/>
  <c r="D101" i="3"/>
  <c r="D4" i="5"/>
  <c r="C6" i="5"/>
  <c r="G12" i="5"/>
  <c r="G14" i="5"/>
  <c r="H16" i="5"/>
  <c r="I19" i="5"/>
  <c r="E19" i="5"/>
  <c r="C21" i="5"/>
  <c r="D25" i="5"/>
  <c r="G27" i="5"/>
  <c r="G34" i="5"/>
  <c r="H42" i="5"/>
  <c r="I46" i="5"/>
  <c r="C46" i="5"/>
  <c r="H46" i="5" s="1"/>
  <c r="G46" i="5"/>
  <c r="D46" i="5"/>
  <c r="E68" i="5"/>
  <c r="C100" i="3"/>
  <c r="E100" i="3" s="1"/>
  <c r="L101" i="3"/>
  <c r="G10" i="5"/>
  <c r="H12" i="5"/>
  <c r="E17" i="5"/>
  <c r="G17" i="5"/>
  <c r="C30" i="5"/>
  <c r="H34" i="5"/>
  <c r="I40" i="5"/>
  <c r="C40" i="5"/>
  <c r="F40" i="5"/>
  <c r="E40" i="5"/>
  <c r="I43" i="5"/>
  <c r="C43" i="5"/>
  <c r="F43" i="5" s="1"/>
  <c r="E59" i="5"/>
  <c r="G68" i="5"/>
  <c r="F68" i="5"/>
  <c r="D68" i="5"/>
  <c r="E74" i="5"/>
  <c r="F75" i="5"/>
  <c r="E75" i="5"/>
  <c r="I75" i="5"/>
  <c r="G77" i="5"/>
  <c r="F77" i="5"/>
  <c r="G86" i="5"/>
  <c r="F86" i="5"/>
  <c r="F93" i="5"/>
  <c r="G95" i="5"/>
  <c r="F95" i="5"/>
  <c r="G44" i="5"/>
  <c r="I55" i="5"/>
  <c r="I64" i="5"/>
  <c r="C75" i="5"/>
  <c r="D77" i="5"/>
  <c r="I82" i="5"/>
  <c r="C84" i="5"/>
  <c r="I84" i="5" s="1"/>
  <c r="D86" i="5"/>
  <c r="C93" i="5"/>
  <c r="D95" i="5"/>
  <c r="F102" i="5"/>
  <c r="E102" i="5"/>
  <c r="I102" i="5"/>
  <c r="E98" i="3"/>
  <c r="H98" i="3" s="1"/>
  <c r="E5" i="5"/>
  <c r="E14" i="5"/>
  <c r="E23" i="5"/>
  <c r="F51" i="5"/>
  <c r="E51" i="5"/>
  <c r="I51" i="5"/>
  <c r="G53" i="5"/>
  <c r="F53" i="5"/>
  <c r="F60" i="5"/>
  <c r="E60" i="5"/>
  <c r="I60" i="5"/>
  <c r="G62" i="5"/>
  <c r="F62" i="5"/>
  <c r="F69" i="5"/>
  <c r="E69" i="5"/>
  <c r="I69" i="5"/>
  <c r="G71" i="5"/>
  <c r="F71" i="5"/>
  <c r="H75" i="5"/>
  <c r="F78" i="5"/>
  <c r="E78" i="5"/>
  <c r="I78" i="5"/>
  <c r="G80" i="5"/>
  <c r="F80" i="5"/>
  <c r="F87" i="5"/>
  <c r="E87" i="5"/>
  <c r="I87" i="5"/>
  <c r="G89" i="5"/>
  <c r="F89" i="5"/>
  <c r="F96" i="5"/>
  <c r="E96" i="5"/>
  <c r="I96" i="5"/>
  <c r="G98" i="5"/>
  <c r="F98" i="5"/>
  <c r="G102" i="5"/>
  <c r="C49" i="5"/>
  <c r="I49" i="5" s="1"/>
  <c r="I85" i="5"/>
  <c r="H102" i="5"/>
  <c r="E83" i="5"/>
  <c r="E92" i="5"/>
  <c r="G92" i="5"/>
  <c r="F92" i="5"/>
  <c r="I99" i="5"/>
  <c r="G17" i="7"/>
  <c r="C31" i="5"/>
  <c r="E33" i="5"/>
  <c r="I33" i="5"/>
  <c r="G35" i="5"/>
  <c r="C37" i="5"/>
  <c r="I37" i="5" s="1"/>
  <c r="F39" i="5"/>
  <c r="E39" i="5"/>
  <c r="I52" i="5"/>
  <c r="I61" i="5"/>
  <c r="I70" i="5"/>
  <c r="D92" i="5"/>
  <c r="C99" i="5"/>
  <c r="G99" i="5" s="1"/>
  <c r="G101" i="5"/>
  <c r="F101" i="5"/>
  <c r="D19" i="6"/>
  <c r="F18" i="7"/>
  <c r="I5" i="5"/>
  <c r="I14" i="5"/>
  <c r="I23" i="5"/>
  <c r="C33" i="5"/>
  <c r="C35" i="5"/>
  <c r="C39" i="5"/>
  <c r="I39" i="5" s="1"/>
  <c r="H49" i="5"/>
  <c r="H92" i="5"/>
  <c r="D101" i="5"/>
  <c r="D20" i="6"/>
  <c r="D21" i="6" s="1"/>
  <c r="E38" i="5"/>
  <c r="E41" i="5"/>
  <c r="E44" i="5"/>
  <c r="E47" i="5"/>
  <c r="E50" i="5"/>
  <c r="C52" i="5"/>
  <c r="C55" i="5"/>
  <c r="C58" i="5"/>
  <c r="I58" i="5" s="1"/>
  <c r="C61" i="5"/>
  <c r="C64" i="5"/>
  <c r="C67" i="5"/>
  <c r="C70" i="5"/>
  <c r="C73" i="5"/>
  <c r="C76" i="5"/>
  <c r="C79" i="5"/>
  <c r="C82" i="5"/>
  <c r="C85" i="5"/>
  <c r="C88" i="5"/>
  <c r="C91" i="5"/>
  <c r="I91" i="5" s="1"/>
  <c r="C94" i="5"/>
  <c r="I94" i="5" s="1"/>
  <c r="C97" i="5"/>
  <c r="D3" i="3" l="1"/>
  <c r="L72" i="3"/>
  <c r="L17" i="3"/>
  <c r="M77" i="3"/>
  <c r="L39" i="3"/>
  <c r="M20" i="3"/>
  <c r="L65" i="3"/>
  <c r="L63" i="3"/>
  <c r="M91" i="3"/>
  <c r="L97" i="3"/>
  <c r="M99" i="3"/>
  <c r="L61" i="3"/>
  <c r="L18" i="3"/>
  <c r="M27" i="3"/>
  <c r="L6" i="3"/>
  <c r="L36" i="3"/>
  <c r="M32" i="3"/>
  <c r="M96" i="3"/>
  <c r="L62" i="3"/>
  <c r="M81" i="3"/>
  <c r="L15" i="3"/>
  <c r="L24" i="3"/>
  <c r="L51" i="3"/>
  <c r="L12" i="3"/>
  <c r="L67" i="3"/>
  <c r="L23" i="3"/>
  <c r="L4" i="3"/>
  <c r="L89" i="3"/>
  <c r="M30" i="3"/>
  <c r="M47" i="3"/>
  <c r="H16" i="3"/>
  <c r="L84" i="3"/>
  <c r="M35" i="3"/>
  <c r="M54" i="3"/>
  <c r="I54" i="3"/>
  <c r="L43" i="3"/>
  <c r="H4" i="3"/>
  <c r="H51" i="3"/>
  <c r="M92" i="3"/>
  <c r="I92" i="3"/>
  <c r="I63" i="3"/>
  <c r="M63" i="3"/>
  <c r="G6" i="10"/>
  <c r="D32" i="5"/>
  <c r="F10" i="5"/>
  <c r="E8" i="5"/>
  <c r="M102" i="3"/>
  <c r="I102" i="3"/>
  <c r="E29" i="5"/>
  <c r="G57" i="5"/>
  <c r="D57" i="5"/>
  <c r="D81" i="5"/>
  <c r="D85" i="3"/>
  <c r="I61" i="3"/>
  <c r="M61" i="3"/>
  <c r="H17" i="3"/>
  <c r="I15" i="5"/>
  <c r="H39" i="3"/>
  <c r="M45" i="3"/>
  <c r="I45" i="3"/>
  <c r="H66" i="3"/>
  <c r="H13" i="5"/>
  <c r="L79" i="3"/>
  <c r="L86" i="3"/>
  <c r="L10" i="3"/>
  <c r="H11" i="3"/>
  <c r="L9" i="3"/>
  <c r="M33" i="3"/>
  <c r="I33" i="3"/>
  <c r="H31" i="5"/>
  <c r="G31" i="5"/>
  <c r="F31" i="5"/>
  <c r="E31" i="5"/>
  <c r="H18" i="3"/>
  <c r="H67" i="5"/>
  <c r="G67" i="5"/>
  <c r="F67" i="5"/>
  <c r="E67" i="5"/>
  <c r="D67" i="5"/>
  <c r="G93" i="5"/>
  <c r="D93" i="5"/>
  <c r="I29" i="5"/>
  <c r="H29" i="5"/>
  <c r="H57" i="5"/>
  <c r="H24" i="5"/>
  <c r="I81" i="5"/>
  <c r="L54" i="3"/>
  <c r="F8" i="3"/>
  <c r="G8" i="3" s="1"/>
  <c r="E8" i="3"/>
  <c r="H69" i="3"/>
  <c r="E15" i="5"/>
  <c r="I62" i="3"/>
  <c r="M62" i="3"/>
  <c r="M84" i="3"/>
  <c r="I84" i="3"/>
  <c r="I44" i="3"/>
  <c r="M44" i="3"/>
  <c r="L66" i="3"/>
  <c r="M86" i="3"/>
  <c r="I86" i="3"/>
  <c r="M34" i="3"/>
  <c r="I34" i="3"/>
  <c r="M10" i="3"/>
  <c r="I10" i="3"/>
  <c r="L11" i="3"/>
  <c r="H9" i="3"/>
  <c r="F16" i="3"/>
  <c r="G16" i="3" s="1"/>
  <c r="H76" i="5"/>
  <c r="G76" i="5"/>
  <c r="F76" i="5"/>
  <c r="E76" i="5"/>
  <c r="D76" i="5"/>
  <c r="G73" i="5"/>
  <c r="F73" i="5"/>
  <c r="H73" i="5"/>
  <c r="E73" i="5"/>
  <c r="D73" i="5"/>
  <c r="L48" i="3"/>
  <c r="I31" i="5"/>
  <c r="F19" i="7"/>
  <c r="G18" i="7"/>
  <c r="G49" i="5"/>
  <c r="H93" i="5"/>
  <c r="G64" i="5"/>
  <c r="F64" i="5"/>
  <c r="H64" i="5"/>
  <c r="E64" i="5"/>
  <c r="D64" i="5"/>
  <c r="D99" i="5"/>
  <c r="D22" i="6"/>
  <c r="G9" i="10" s="1"/>
  <c r="G5" i="10"/>
  <c r="I76" i="5"/>
  <c r="I93" i="5"/>
  <c r="H40" i="5"/>
  <c r="G40" i="5"/>
  <c r="D40" i="5"/>
  <c r="D6" i="5"/>
  <c r="G6" i="5"/>
  <c r="F6" i="5"/>
  <c r="E4" i="5"/>
  <c r="H4" i="5"/>
  <c r="G4" i="5"/>
  <c r="F4" i="5"/>
  <c r="L102" i="3"/>
  <c r="D45" i="5"/>
  <c r="H48" i="5"/>
  <c r="G9" i="5"/>
  <c r="I57" i="5"/>
  <c r="I24" i="5"/>
  <c r="E81" i="5"/>
  <c r="E9" i="5"/>
  <c r="L83" i="3"/>
  <c r="D49" i="3"/>
  <c r="M7" i="3"/>
  <c r="I7" i="3"/>
  <c r="L94" i="3"/>
  <c r="D6" i="3"/>
  <c r="D4" i="3"/>
  <c r="H80" i="3"/>
  <c r="H27" i="3"/>
  <c r="F93" i="3"/>
  <c r="G93" i="3" s="1"/>
  <c r="H93" i="3" s="1"/>
  <c r="H43" i="3"/>
  <c r="H63" i="3"/>
  <c r="E47" i="3"/>
  <c r="G11" i="5"/>
  <c r="E91" i="3"/>
  <c r="H91" i="3" s="1"/>
  <c r="F5" i="3"/>
  <c r="G5" i="3" s="1"/>
  <c r="H5" i="3" s="1"/>
  <c r="I83" i="3"/>
  <c r="E49" i="3"/>
  <c r="H49" i="3" s="1"/>
  <c r="F47" i="3"/>
  <c r="G47" i="3" s="1"/>
  <c r="I47" i="3" s="1"/>
  <c r="I65" i="3"/>
  <c r="M65" i="3"/>
  <c r="D97" i="5"/>
  <c r="H97" i="5"/>
  <c r="G97" i="5"/>
  <c r="F97" i="5"/>
  <c r="E97" i="5"/>
  <c r="I67" i="5"/>
  <c r="E93" i="5"/>
  <c r="F100" i="3"/>
  <c r="G100" i="3" s="1"/>
  <c r="D100" i="3"/>
  <c r="E25" i="5"/>
  <c r="H25" i="5"/>
  <c r="F25" i="5"/>
  <c r="I25" i="5"/>
  <c r="D97" i="3"/>
  <c r="G45" i="5"/>
  <c r="I48" i="5"/>
  <c r="E57" i="5"/>
  <c r="G3" i="5"/>
  <c r="F3" i="5"/>
  <c r="D3" i="5"/>
  <c r="F81" i="5"/>
  <c r="E64" i="3"/>
  <c r="H64" i="3" s="1"/>
  <c r="D64" i="3"/>
  <c r="M78" i="3"/>
  <c r="E6" i="3"/>
  <c r="H6" i="3" s="1"/>
  <c r="E90" i="3"/>
  <c r="L49" i="3"/>
  <c r="L80" i="3"/>
  <c r="I93" i="3"/>
  <c r="M93" i="3"/>
  <c r="D51" i="3"/>
  <c r="L82" i="3"/>
  <c r="L42" i="3"/>
  <c r="E89" i="3"/>
  <c r="H89" i="3" s="1"/>
  <c r="E36" i="3"/>
  <c r="H36" i="3" s="1"/>
  <c r="D36" i="3"/>
  <c r="L52" i="3"/>
  <c r="H11" i="5"/>
  <c r="M76" i="3"/>
  <c r="I76" i="3"/>
  <c r="F91" i="3"/>
  <c r="G91" i="3" s="1"/>
  <c r="I91" i="3" s="1"/>
  <c r="M60" i="3"/>
  <c r="I60" i="3"/>
  <c r="I43" i="3"/>
  <c r="F35" i="3"/>
  <c r="G35" i="3" s="1"/>
  <c r="H35" i="3" s="1"/>
  <c r="M18" i="3"/>
  <c r="I18" i="3"/>
  <c r="D70" i="5"/>
  <c r="G70" i="5"/>
  <c r="H70" i="5"/>
  <c r="F70" i="5"/>
  <c r="E70" i="5"/>
  <c r="H94" i="5"/>
  <c r="G94" i="5"/>
  <c r="F94" i="5"/>
  <c r="E94" i="5"/>
  <c r="D94" i="5"/>
  <c r="D21" i="5"/>
  <c r="H21" i="5"/>
  <c r="F21" i="5"/>
  <c r="G21" i="5"/>
  <c r="M101" i="3"/>
  <c r="I101" i="3"/>
  <c r="H97" i="3"/>
  <c r="H99" i="5"/>
  <c r="L103" i="3"/>
  <c r="Q106" i="3"/>
  <c r="F22" i="5"/>
  <c r="E22" i="5"/>
  <c r="M73" i="3"/>
  <c r="I73" i="3"/>
  <c r="F90" i="3"/>
  <c r="G90" i="3" s="1"/>
  <c r="I90" i="3" s="1"/>
  <c r="M29" i="3"/>
  <c r="D16" i="3"/>
  <c r="M89" i="3"/>
  <c r="I89" i="3"/>
  <c r="H24" i="3"/>
  <c r="L92" i="3"/>
  <c r="I11" i="5"/>
  <c r="F74" i="3"/>
  <c r="G74" i="3" s="1"/>
  <c r="H74" i="3" s="1"/>
  <c r="H76" i="3"/>
  <c r="H60" i="3"/>
  <c r="F29" i="3"/>
  <c r="G29" i="3" s="1"/>
  <c r="I29" i="3" s="1"/>
  <c r="F27" i="3"/>
  <c r="G27" i="3" s="1"/>
  <c r="I27" i="3" s="1"/>
  <c r="H22" i="3"/>
  <c r="L88" i="3"/>
  <c r="E96" i="3"/>
  <c r="H96" i="3" s="1"/>
  <c r="F96" i="3"/>
  <c r="G96" i="3" s="1"/>
  <c r="I96" i="3" s="1"/>
  <c r="I22" i="5"/>
  <c r="R106" i="3"/>
  <c r="M103" i="3"/>
  <c r="I103" i="3"/>
  <c r="F32" i="3"/>
  <c r="G32" i="3" s="1"/>
  <c r="I32" i="3" s="1"/>
  <c r="E32" i="3"/>
  <c r="H32" i="3" s="1"/>
  <c r="L55" i="3"/>
  <c r="H15" i="3"/>
  <c r="F87" i="3"/>
  <c r="G87" i="3" s="1"/>
  <c r="I87" i="3" s="1"/>
  <c r="I39" i="3"/>
  <c r="M39" i="3"/>
  <c r="D28" i="5"/>
  <c r="M72" i="3"/>
  <c r="I72" i="3"/>
  <c r="I38" i="3"/>
  <c r="M38" i="3"/>
  <c r="H12" i="3"/>
  <c r="I24" i="3"/>
  <c r="M24" i="3"/>
  <c r="D11" i="5"/>
  <c r="D74" i="3"/>
  <c r="L76" i="3"/>
  <c r="M53" i="3"/>
  <c r="I53" i="3"/>
  <c r="F30" i="3"/>
  <c r="G30" i="3" s="1"/>
  <c r="I30" i="3" s="1"/>
  <c r="L60" i="3"/>
  <c r="L22" i="3"/>
  <c r="I88" i="3"/>
  <c r="M66" i="3"/>
  <c r="I66" i="3"/>
  <c r="M11" i="3"/>
  <c r="I11" i="3"/>
  <c r="E68" i="3"/>
  <c r="F68" i="3"/>
  <c r="G68" i="3" s="1"/>
  <c r="F45" i="5"/>
  <c r="H72" i="5"/>
  <c r="G72" i="5"/>
  <c r="H103" i="3"/>
  <c r="M31" i="3"/>
  <c r="I31" i="3"/>
  <c r="M80" i="3"/>
  <c r="I80" i="3"/>
  <c r="L31" i="3"/>
  <c r="F85" i="3"/>
  <c r="G85" i="3" s="1"/>
  <c r="D55" i="3"/>
  <c r="M87" i="3"/>
  <c r="F28" i="5"/>
  <c r="E77" i="3"/>
  <c r="H77" i="3" s="1"/>
  <c r="E84" i="3"/>
  <c r="H84" i="3" s="1"/>
  <c r="I12" i="3"/>
  <c r="D23" i="3"/>
  <c r="M22" i="3"/>
  <c r="I22" i="3"/>
  <c r="M90" i="3"/>
  <c r="L33" i="3"/>
  <c r="D61" i="5"/>
  <c r="G61" i="5"/>
  <c r="H61" i="5"/>
  <c r="F61" i="5"/>
  <c r="E61" i="5"/>
  <c r="H91" i="5"/>
  <c r="G91" i="5"/>
  <c r="F91" i="5"/>
  <c r="E91" i="5"/>
  <c r="D91" i="5"/>
  <c r="E99" i="5"/>
  <c r="H30" i="5"/>
  <c r="G30" i="5"/>
  <c r="F30" i="5"/>
  <c r="D30" i="5"/>
  <c r="I21" i="5"/>
  <c r="H85" i="5"/>
  <c r="G85" i="5"/>
  <c r="E85" i="5"/>
  <c r="F85" i="5"/>
  <c r="D85" i="5"/>
  <c r="I35" i="5"/>
  <c r="H35" i="5"/>
  <c r="F35" i="5"/>
  <c r="D35" i="5"/>
  <c r="E35" i="5"/>
  <c r="H84" i="5"/>
  <c r="G75" i="5"/>
  <c r="D75" i="5"/>
  <c r="E30" i="5"/>
  <c r="G90" i="5"/>
  <c r="G36" i="5"/>
  <c r="D90" i="5"/>
  <c r="F36" i="5"/>
  <c r="I12" i="5"/>
  <c r="I36" i="5"/>
  <c r="D72" i="5"/>
  <c r="F99" i="3"/>
  <c r="G99" i="3" s="1"/>
  <c r="I99" i="3" s="1"/>
  <c r="D68" i="3"/>
  <c r="E30" i="3"/>
  <c r="E78" i="3"/>
  <c r="E55" i="3"/>
  <c r="H55" i="3" s="1"/>
  <c r="D17" i="3"/>
  <c r="E65" i="3"/>
  <c r="H65" i="3" s="1"/>
  <c r="M82" i="3"/>
  <c r="I82" i="3"/>
  <c r="G28" i="5"/>
  <c r="I26" i="3"/>
  <c r="M26" i="3"/>
  <c r="F77" i="3"/>
  <c r="G77" i="3" s="1"/>
  <c r="I77" i="3" s="1"/>
  <c r="H81" i="3"/>
  <c r="M67" i="3"/>
  <c r="I67" i="3"/>
  <c r="I9" i="3"/>
  <c r="L21" i="3"/>
  <c r="E23" i="3"/>
  <c r="H23" i="3" s="1"/>
  <c r="I21" i="3"/>
  <c r="G84" i="5"/>
  <c r="D84" i="5"/>
  <c r="G55" i="5"/>
  <c r="F55" i="5"/>
  <c r="E55" i="5"/>
  <c r="D55" i="5"/>
  <c r="H55" i="5"/>
  <c r="I98" i="3"/>
  <c r="M98" i="3"/>
  <c r="D88" i="5"/>
  <c r="H88" i="5"/>
  <c r="G88" i="5"/>
  <c r="F88" i="5"/>
  <c r="E88" i="5"/>
  <c r="D52" i="5"/>
  <c r="G52" i="5"/>
  <c r="F52" i="5"/>
  <c r="E52" i="5"/>
  <c r="H52" i="5"/>
  <c r="D37" i="5"/>
  <c r="I97" i="5"/>
  <c r="F99" i="5"/>
  <c r="I30" i="5"/>
  <c r="E21" i="5"/>
  <c r="G82" i="5"/>
  <c r="F82" i="5"/>
  <c r="E82" i="5"/>
  <c r="H82" i="5"/>
  <c r="D82" i="5"/>
  <c r="H33" i="5"/>
  <c r="G33" i="5"/>
  <c r="F33" i="5"/>
  <c r="D33" i="5"/>
  <c r="I88" i="5"/>
  <c r="I73" i="5"/>
  <c r="E84" i="5"/>
  <c r="E43" i="5"/>
  <c r="E46" i="5"/>
  <c r="F46" i="5"/>
  <c r="H36" i="5"/>
  <c r="F12" i="5"/>
  <c r="E34" i="5"/>
  <c r="E12" i="5"/>
  <c r="I72" i="5"/>
  <c r="R107" i="3"/>
  <c r="F64" i="3"/>
  <c r="G64" i="3" s="1"/>
  <c r="F78" i="3"/>
  <c r="G78" i="3" s="1"/>
  <c r="D15" i="5"/>
  <c r="H28" i="5"/>
  <c r="L53" i="3"/>
  <c r="F81" i="3"/>
  <c r="G81" i="3" s="1"/>
  <c r="I81" i="3" s="1"/>
  <c r="E67" i="3"/>
  <c r="H67" i="3" s="1"/>
  <c r="H21" i="3"/>
  <c r="H58" i="5"/>
  <c r="G58" i="5"/>
  <c r="F58" i="5"/>
  <c r="E58" i="5"/>
  <c r="D58" i="5"/>
  <c r="H39" i="5"/>
  <c r="G39" i="5"/>
  <c r="D39" i="5"/>
  <c r="G37" i="5"/>
  <c r="E37" i="5"/>
  <c r="H37" i="5"/>
  <c r="F37" i="5"/>
  <c r="F49" i="5"/>
  <c r="E49" i="5"/>
  <c r="D49" i="5"/>
  <c r="D79" i="5"/>
  <c r="G79" i="5"/>
  <c r="F79" i="5"/>
  <c r="H79" i="5"/>
  <c r="E79" i="5"/>
  <c r="D31" i="5"/>
  <c r="I79" i="5"/>
  <c r="F84" i="5"/>
  <c r="D10" i="5"/>
  <c r="E10" i="5"/>
  <c r="F24" i="5"/>
  <c r="D24" i="5"/>
  <c r="H61" i="3"/>
  <c r="F20" i="3"/>
  <c r="G20" i="3" s="1"/>
  <c r="E20" i="3"/>
  <c r="E75" i="3"/>
  <c r="H75" i="3" s="1"/>
  <c r="I50" i="3"/>
  <c r="M50" i="3"/>
  <c r="H62" i="3"/>
  <c r="F75" i="3"/>
  <c r="G75" i="3" s="1"/>
  <c r="H52" i="3"/>
  <c r="E72" i="3"/>
  <c r="H72" i="3" s="1"/>
  <c r="D8" i="3"/>
  <c r="M48" i="3"/>
  <c r="I48" i="3"/>
  <c r="I42" i="3"/>
  <c r="I79" i="3"/>
  <c r="H43" i="5"/>
  <c r="G43" i="5"/>
  <c r="D43" i="5"/>
  <c r="F32" i="5"/>
  <c r="I32" i="5"/>
  <c r="H32" i="5"/>
  <c r="F8" i="5"/>
  <c r="I8" i="5"/>
  <c r="H8" i="5"/>
  <c r="I10" i="5"/>
  <c r="H81" i="5"/>
  <c r="M94" i="3"/>
  <c r="I94" i="3"/>
  <c r="M19" i="3"/>
  <c r="I19" i="3"/>
  <c r="L69" i="3"/>
  <c r="L19" i="3"/>
  <c r="L73" i="3"/>
  <c r="L44" i="3"/>
  <c r="M5" i="3"/>
  <c r="M75" i="3"/>
  <c r="I15" i="3"/>
  <c r="M15" i="3"/>
  <c r="I14" i="3"/>
  <c r="M14" i="3"/>
  <c r="H88" i="3"/>
  <c r="H48" i="3"/>
  <c r="H33" i="3"/>
  <c r="J72" i="3" l="1"/>
  <c r="I5" i="3"/>
  <c r="K75" i="3"/>
  <c r="N39" i="3"/>
  <c r="J98" i="3"/>
  <c r="N21" i="3"/>
  <c r="N53" i="3"/>
  <c r="N55" i="3"/>
  <c r="N76" i="3"/>
  <c r="K14" i="3"/>
  <c r="N52" i="3"/>
  <c r="N83" i="3"/>
  <c r="J84" i="3"/>
  <c r="N9" i="3"/>
  <c r="J45" i="3"/>
  <c r="K96" i="3"/>
  <c r="K27" i="3"/>
  <c r="N97" i="3"/>
  <c r="N69" i="3"/>
  <c r="J48" i="3"/>
  <c r="H20" i="3"/>
  <c r="M74" i="3"/>
  <c r="K74" i="3"/>
  <c r="J74" i="3"/>
  <c r="I74" i="3"/>
  <c r="H87" i="3"/>
  <c r="K36" i="3"/>
  <c r="J36" i="3"/>
  <c r="I36" i="3"/>
  <c r="M36" i="3"/>
  <c r="M100" i="3"/>
  <c r="K100" i="3"/>
  <c r="J100" i="3"/>
  <c r="I100" i="3"/>
  <c r="J65" i="3"/>
  <c r="N48" i="3"/>
  <c r="N16" i="3"/>
  <c r="L16" i="3"/>
  <c r="K84" i="3"/>
  <c r="N54" i="3"/>
  <c r="N43" i="3"/>
  <c r="H29" i="3"/>
  <c r="N4" i="3"/>
  <c r="N92" i="3"/>
  <c r="N20" i="3"/>
  <c r="L20" i="3"/>
  <c r="J82" i="3"/>
  <c r="N33" i="3"/>
  <c r="N31" i="3"/>
  <c r="K72" i="3"/>
  <c r="J60" i="3"/>
  <c r="N80" i="3"/>
  <c r="J4" i="3"/>
  <c r="M4" i="3"/>
  <c r="K4" i="3"/>
  <c r="I4" i="3"/>
  <c r="K63" i="3"/>
  <c r="N23" i="3"/>
  <c r="N15" i="3"/>
  <c r="J32" i="3"/>
  <c r="J91" i="3"/>
  <c r="N85" i="3"/>
  <c r="L85" i="3"/>
  <c r="J5" i="3"/>
  <c r="J101" i="3"/>
  <c r="J86" i="3"/>
  <c r="I8" i="3"/>
  <c r="M8" i="3"/>
  <c r="K8" i="3"/>
  <c r="J8" i="3"/>
  <c r="L78" i="3"/>
  <c r="N78" i="3"/>
  <c r="J67" i="3"/>
  <c r="K82" i="3"/>
  <c r="N68" i="3"/>
  <c r="L68" i="3"/>
  <c r="N22" i="3"/>
  <c r="N32" i="3"/>
  <c r="L32" i="3"/>
  <c r="J89" i="3"/>
  <c r="K73" i="3"/>
  <c r="K101" i="3"/>
  <c r="K60" i="3"/>
  <c r="K6" i="3"/>
  <c r="M6" i="3"/>
  <c r="J6" i="3"/>
  <c r="I6" i="3"/>
  <c r="N11" i="3"/>
  <c r="K86" i="3"/>
  <c r="N10" i="3"/>
  <c r="J54" i="3"/>
  <c r="J47" i="3"/>
  <c r="J81" i="3"/>
  <c r="K32" i="3"/>
  <c r="K48" i="3"/>
  <c r="N88" i="3"/>
  <c r="J73" i="3"/>
  <c r="L100" i="3"/>
  <c r="N100" i="3"/>
  <c r="L47" i="3"/>
  <c r="N47" i="3"/>
  <c r="K5" i="3"/>
  <c r="K19" i="3"/>
  <c r="H99" i="3"/>
  <c r="N64" i="3"/>
  <c r="L64" i="3"/>
  <c r="K67" i="3"/>
  <c r="J90" i="3"/>
  <c r="K80" i="3"/>
  <c r="H68" i="3"/>
  <c r="N60" i="3"/>
  <c r="N27" i="3"/>
  <c r="L27" i="3"/>
  <c r="K89" i="3"/>
  <c r="N49" i="3"/>
  <c r="D25" i="6"/>
  <c r="D26" i="6"/>
  <c r="R108" i="3"/>
  <c r="Q108" i="3"/>
  <c r="J57" i="3"/>
  <c r="J69" i="3"/>
  <c r="J40" i="3"/>
  <c r="N3" i="3"/>
  <c r="K58" i="3"/>
  <c r="J42" i="3"/>
  <c r="E25" i="6"/>
  <c r="Q107" i="3"/>
  <c r="J43" i="3"/>
  <c r="N98" i="3"/>
  <c r="K69" i="3"/>
  <c r="K57" i="3"/>
  <c r="J56" i="3"/>
  <c r="K43" i="3"/>
  <c r="K42" i="3"/>
  <c r="K41" i="3"/>
  <c r="K40" i="3"/>
  <c r="J41" i="3"/>
  <c r="J79" i="3"/>
  <c r="N41" i="3"/>
  <c r="K37" i="3"/>
  <c r="J52" i="3"/>
  <c r="K9" i="3"/>
  <c r="K95" i="3"/>
  <c r="K70" i="3"/>
  <c r="K13" i="3"/>
  <c r="J9" i="3"/>
  <c r="N45" i="3"/>
  <c r="J95" i="3"/>
  <c r="K52" i="3"/>
  <c r="J25" i="3"/>
  <c r="N95" i="3"/>
  <c r="N7" i="3"/>
  <c r="K88" i="3"/>
  <c r="N57" i="3"/>
  <c r="K46" i="3"/>
  <c r="J88" i="3"/>
  <c r="N25" i="3"/>
  <c r="K83" i="3"/>
  <c r="N71" i="3"/>
  <c r="N26" i="3"/>
  <c r="N28" i="3"/>
  <c r="K28" i="3"/>
  <c r="J83" i="3"/>
  <c r="N38" i="3"/>
  <c r="J28" i="3"/>
  <c r="N37" i="3"/>
  <c r="J37" i="3"/>
  <c r="J58" i="3"/>
  <c r="N34" i="3"/>
  <c r="N14" i="3"/>
  <c r="J46" i="3"/>
  <c r="N46" i="3"/>
  <c r="N50" i="3"/>
  <c r="K56" i="3"/>
  <c r="N40" i="3"/>
  <c r="N59" i="3"/>
  <c r="J59" i="3"/>
  <c r="K71" i="3"/>
  <c r="N101" i="3"/>
  <c r="K79" i="3"/>
  <c r="N58" i="3"/>
  <c r="N56" i="3"/>
  <c r="K25" i="3"/>
  <c r="K59" i="3"/>
  <c r="N70" i="3"/>
  <c r="J70" i="3"/>
  <c r="J13" i="3"/>
  <c r="J71" i="3"/>
  <c r="K102" i="3"/>
  <c r="K54" i="3"/>
  <c r="K47" i="3"/>
  <c r="K81" i="3"/>
  <c r="N18" i="3"/>
  <c r="K91" i="3"/>
  <c r="N91" i="3"/>
  <c r="L91" i="3"/>
  <c r="N42" i="3"/>
  <c r="H90" i="3"/>
  <c r="L5" i="3"/>
  <c r="N5" i="3"/>
  <c r="N94" i="3"/>
  <c r="N66" i="3"/>
  <c r="J62" i="3"/>
  <c r="N86" i="3"/>
  <c r="J63" i="3"/>
  <c r="N36" i="3"/>
  <c r="N61" i="3"/>
  <c r="J77" i="3"/>
  <c r="J10" i="3"/>
  <c r="K62" i="3"/>
  <c r="J102" i="3"/>
  <c r="I35" i="3"/>
  <c r="N67" i="3"/>
  <c r="N63" i="3"/>
  <c r="K77" i="3"/>
  <c r="J24" i="3"/>
  <c r="N75" i="3"/>
  <c r="L75" i="3"/>
  <c r="J11" i="3"/>
  <c r="N30" i="3"/>
  <c r="L30" i="3"/>
  <c r="K24" i="3"/>
  <c r="K103" i="3"/>
  <c r="J16" i="3"/>
  <c r="M16" i="3"/>
  <c r="K16" i="3"/>
  <c r="I16" i="3"/>
  <c r="N44" i="3"/>
  <c r="J94" i="3"/>
  <c r="N77" i="3"/>
  <c r="L77" i="3"/>
  <c r="K11" i="3"/>
  <c r="J39" i="3"/>
  <c r="N103" i="3"/>
  <c r="J76" i="3"/>
  <c r="N82" i="3"/>
  <c r="I78" i="3"/>
  <c r="K7" i="3"/>
  <c r="K10" i="3"/>
  <c r="J44" i="3"/>
  <c r="N79" i="3"/>
  <c r="K92" i="3"/>
  <c r="J35" i="3"/>
  <c r="J30" i="3"/>
  <c r="N62" i="3"/>
  <c r="J14" i="3"/>
  <c r="J3" i="3"/>
  <c r="N29" i="3"/>
  <c r="L29" i="3"/>
  <c r="K3" i="3"/>
  <c r="M17" i="3"/>
  <c r="K17" i="3"/>
  <c r="I17" i="3"/>
  <c r="J17" i="3"/>
  <c r="J80" i="3"/>
  <c r="K15" i="3"/>
  <c r="K94" i="3"/>
  <c r="K26" i="3"/>
  <c r="H78" i="3"/>
  <c r="J22" i="3"/>
  <c r="J87" i="3"/>
  <c r="J31" i="3"/>
  <c r="J53" i="3"/>
  <c r="K38" i="3"/>
  <c r="N74" i="3"/>
  <c r="L74" i="3"/>
  <c r="J29" i="3"/>
  <c r="J18" i="3"/>
  <c r="K76" i="3"/>
  <c r="I51" i="3"/>
  <c r="K51" i="3"/>
  <c r="J51" i="3"/>
  <c r="M51" i="3"/>
  <c r="J78" i="3"/>
  <c r="J97" i="3"/>
  <c r="I97" i="3"/>
  <c r="M97" i="3"/>
  <c r="K97" i="3"/>
  <c r="H47" i="3"/>
  <c r="J7" i="3"/>
  <c r="K44" i="3"/>
  <c r="J33" i="3"/>
  <c r="K35" i="3"/>
  <c r="K30" i="3"/>
  <c r="N6" i="3"/>
  <c r="J99" i="3"/>
  <c r="N65" i="3"/>
  <c r="K39" i="3"/>
  <c r="J103" i="3"/>
  <c r="J15" i="3"/>
  <c r="H30" i="3"/>
  <c r="K22" i="3"/>
  <c r="K87" i="3"/>
  <c r="K31" i="3"/>
  <c r="K53" i="3"/>
  <c r="N87" i="3"/>
  <c r="L87" i="3"/>
  <c r="K29" i="3"/>
  <c r="K18" i="3"/>
  <c r="J93" i="3"/>
  <c r="K78" i="3"/>
  <c r="N102" i="3"/>
  <c r="K33" i="3"/>
  <c r="J61" i="3"/>
  <c r="J92" i="3"/>
  <c r="N51" i="3"/>
  <c r="H85" i="3"/>
  <c r="I20" i="3"/>
  <c r="D5" i="7" s="1"/>
  <c r="N17" i="3"/>
  <c r="N81" i="3"/>
  <c r="L81" i="3"/>
  <c r="M68" i="3"/>
  <c r="K68" i="3"/>
  <c r="J68" i="3"/>
  <c r="I68" i="3"/>
  <c r="J66" i="3"/>
  <c r="K93" i="3"/>
  <c r="K49" i="3"/>
  <c r="J49" i="3"/>
  <c r="I49" i="3"/>
  <c r="M49" i="3"/>
  <c r="J34" i="3"/>
  <c r="H8" i="3"/>
  <c r="K45" i="3"/>
  <c r="K61" i="3"/>
  <c r="J96" i="3"/>
  <c r="H100" i="3"/>
  <c r="K99" i="3"/>
  <c r="J20" i="3"/>
  <c r="K90" i="3"/>
  <c r="N73" i="3"/>
  <c r="K50" i="3"/>
  <c r="I75" i="3"/>
  <c r="J75" i="3"/>
  <c r="N19" i="3"/>
  <c r="J50" i="3"/>
  <c r="K98" i="3"/>
  <c r="J26" i="3"/>
  <c r="N99" i="3"/>
  <c r="L99" i="3"/>
  <c r="M23" i="3"/>
  <c r="K23" i="3"/>
  <c r="J23" i="3"/>
  <c r="I23" i="3"/>
  <c r="M55" i="3"/>
  <c r="K55" i="3"/>
  <c r="J55" i="3"/>
  <c r="I55" i="3"/>
  <c r="K66" i="3"/>
  <c r="J38" i="3"/>
  <c r="N96" i="3"/>
  <c r="L96" i="3"/>
  <c r="L90" i="3"/>
  <c r="N90" i="3"/>
  <c r="L35" i="3"/>
  <c r="N35" i="3"/>
  <c r="I64" i="3"/>
  <c r="M64" i="3"/>
  <c r="K64" i="3"/>
  <c r="J64" i="3"/>
  <c r="K65" i="3"/>
  <c r="N93" i="3"/>
  <c r="L93" i="3"/>
  <c r="G19" i="7"/>
  <c r="F20" i="7"/>
  <c r="K34" i="3"/>
  <c r="L8" i="3"/>
  <c r="N8" i="3"/>
  <c r="M85" i="3"/>
  <c r="K85" i="3"/>
  <c r="J85" i="3"/>
  <c r="I85" i="3"/>
  <c r="N84" i="3"/>
  <c r="N89" i="3"/>
  <c r="N24" i="3"/>
  <c r="J27" i="3"/>
  <c r="K20" i="3"/>
  <c r="N72" i="3"/>
  <c r="D7" i="7" l="1"/>
  <c r="D6" i="7"/>
  <c r="H20" i="7"/>
  <c r="G20" i="7"/>
  <c r="F21" i="7"/>
  <c r="D8" i="7"/>
  <c r="I20" i="7" s="1"/>
  <c r="D4" i="7"/>
  <c r="G15" i="10" s="1"/>
  <c r="D27" i="6"/>
  <c r="F22" i="7" l="1"/>
  <c r="I21" i="7"/>
  <c r="H21" i="7"/>
  <c r="G21" i="7"/>
  <c r="I16" i="7"/>
  <c r="G13" i="10"/>
  <c r="I17" i="7"/>
  <c r="I18" i="7"/>
  <c r="I19" i="7"/>
  <c r="H16" i="7"/>
  <c r="D9" i="7"/>
  <c r="G12" i="10"/>
  <c r="H17" i="7"/>
  <c r="H18" i="7"/>
  <c r="H19" i="7"/>
  <c r="G14" i="10" l="1"/>
  <c r="H22" i="7"/>
  <c r="G22" i="7"/>
  <c r="F23" i="7"/>
  <c r="I22" i="7"/>
  <c r="I23" i="7" l="1"/>
  <c r="H23" i="7"/>
  <c r="G23" i="7"/>
  <c r="F24" i="7"/>
  <c r="F25" i="7" l="1"/>
  <c r="G24" i="7"/>
  <c r="I24" i="7"/>
  <c r="H24" i="7"/>
  <c r="H25" i="7" l="1"/>
  <c r="G25" i="7"/>
  <c r="F26" i="7"/>
  <c r="I25" i="7"/>
  <c r="I26" i="7" l="1"/>
  <c r="H26" i="7"/>
  <c r="G26" i="7"/>
  <c r="F27" i="7"/>
  <c r="F28" i="7" l="1"/>
  <c r="I27" i="7"/>
  <c r="H27" i="7"/>
  <c r="G27" i="7"/>
  <c r="H28" i="7" l="1"/>
  <c r="G28" i="7"/>
  <c r="F29" i="7"/>
  <c r="I28" i="7"/>
  <c r="I29" i="7" l="1"/>
  <c r="H29" i="7"/>
  <c r="G29" i="7"/>
  <c r="F30" i="7"/>
  <c r="F31" i="7" l="1"/>
  <c r="G30" i="7"/>
  <c r="I30" i="7"/>
  <c r="H30" i="7"/>
  <c r="H31" i="7" l="1"/>
  <c r="G31" i="7"/>
  <c r="I31" i="7"/>
</calcChain>
</file>

<file path=xl/sharedStrings.xml><?xml version="1.0" encoding="utf-8"?>
<sst xmlns="http://schemas.openxmlformats.org/spreadsheetml/2006/main" count="236" uniqueCount="209">
  <si>
    <t>EFFICIENT FRONTIER &amp; PORTFOLIO THEORY  —  MBA FINANCE TEACHING WORKBOOK</t>
  </si>
  <si>
    <t>WORKBOOK OBJECTIVE</t>
  </si>
  <si>
    <t>Builds the Two-Asset Efficient Frontier step by step and connects it to the Capital Market Line (CML), CAPM, and Security Market Line (SML). All 11 sheets are formula-driven and update live when Inputs change. Designed for MBA Finance classroom demonstration by Dr. Srikanth Potharla, ICFAI Business School, Hyderabad.</t>
  </si>
  <si>
    <t>LEARNING OUTCOMES</t>
  </si>
  <si>
    <t>1.  Calculate two-asset portfolio return:  E(Rp) = wA × E(RA) + wB × E(RB)</t>
  </si>
  <si>
    <t>2.  Calculate portfolio variance and standard deviation using the covariance formula</t>
  </si>
  <si>
    <t>3.  Understand how changing weights moves a portfolio along the opportunity set</t>
  </si>
  <si>
    <t>4.  See how correlation (ρ) shapes the degree of diversification benefit</t>
  </si>
  <si>
    <t>5.  Identify the Minimum Variance Portfolio (MVP) analytically and numerically</t>
  </si>
  <si>
    <t>6.  Distinguish efficient portfolios (upper frontier) from dominated portfolios (lower)</t>
  </si>
  <si>
    <t>7.  Understand how the Capital Market Line (CML) emerges by introducing a risk-free asset</t>
  </si>
  <si>
    <t>8.  Apply CAPM:  Required Return = Rf + β × (E(Rm) – Rf)  for any beta</t>
  </si>
  <si>
    <t>9.  Use SML alpha to make buy, hold, or sell investment decisions</t>
  </si>
  <si>
    <t>Session 1  →  Inputs (Sheet 2) + Frontier Calculations (Sheet 3): Build 101 portfolios, wA from 0% to 100%</t>
  </si>
  <si>
    <t>Session 2  →  Efficient Frontier Chart (Sheet 4): Textbook-style frontier, identify MVP and dominated region</t>
  </si>
  <si>
    <t>Session 3  →  Correlation Demo (Sheet 5): Change ρ from +1 to –1, show how frontier shifts</t>
  </si>
  <si>
    <t>Session 4  →  Minimum Variance Portfolio (Sheet 6): Analytical vs numerical MVP comparison</t>
  </si>
  <si>
    <t>Session 5  →  Capital Market Line (Sheet 7): Introduce Rf, show CML dominating the risky frontier</t>
  </si>
  <si>
    <t>Session 6  →  CAPM &amp; SML (Sheets 8 &amp; 9): Required return, alpha, buy/sell/hold decisions</t>
  </si>
  <si>
    <t>IMPORTANT WARNINGS — PLEASE READ</t>
  </si>
  <si>
    <t>• ONLY change YELLOW cells on the Inputs sheet. All other cells contain formula-driven calculations.</t>
  </si>
  <si>
    <t>• Percentages are stored as DECIMALS: type  0.15  for 15%,  NOT  15. Formatting displays it as 15.00%.</t>
  </si>
  <si>
    <t>• Correlation ρAB is data-validated between –1.00 and +1.00. Do not remove the data validation.</t>
  </si>
  <si>
    <t>• The NA() values in Efficient Frontier columns J and K are INTENTIONAL — they filter the chart correctly.</t>
  </si>
  <si>
    <t>• If charts appear stale after changing inputs, press  Ctrl + Alt + F9  to force full recalculation.</t>
  </si>
  <si>
    <t>• Input values use BLUE text on YELLOW background. Formula cells use BLACK text (formula-driven).</t>
  </si>
  <si>
    <t>INPUTS PANEL  —  Edit ONLY the YELLOW Cells Below</t>
  </si>
  <si>
    <t>Parameter</t>
  </si>
  <si>
    <t>Input Value</t>
  </si>
  <si>
    <t>Notes / Interpretation</t>
  </si>
  <si>
    <t>ASSET A  (Equity / Higher Return / Aggressive)</t>
  </si>
  <si>
    <t>Asset A – Name</t>
  </si>
  <si>
    <t>Equity (Aggressive)</t>
  </si>
  <si>
    <t>Text label used in chart legends</t>
  </si>
  <si>
    <t>Asset A – Expected Annual Return  E(RA)</t>
  </si>
  <si>
    <t>Enter as decimal: 0.15 = 15%</t>
  </si>
  <si>
    <t>Asset A – Annual Standard Deviation  σA</t>
  </si>
  <si>
    <t>Enter as decimal: 0.25 = 25%</t>
  </si>
  <si>
    <t>ASSET B  (Bond / Lower Return / Defensive)</t>
  </si>
  <si>
    <t>Asset B – Name</t>
  </si>
  <si>
    <t>Bond (Defensive)</t>
  </si>
  <si>
    <t>Asset B – Expected Annual Return  E(RB)</t>
  </si>
  <si>
    <t>Enter as decimal: 0.08 = 8%</t>
  </si>
  <si>
    <t>Asset B – Annual Standard Deviation  σB</t>
  </si>
  <si>
    <t>Enter as decimal: 0.12 = 12%</t>
  </si>
  <si>
    <t>CORRELATION</t>
  </si>
  <si>
    <t>Correlation Coefficient  ρAB</t>
  </si>
  <si>
    <t>DATA VALIDATED: Must be between –1.00 and +1.00</t>
  </si>
  <si>
    <t>ρ = +1.00  →  No diversification benefit — frontier becomes a straight line</t>
  </si>
  <si>
    <t>ρ =  0.00  →  Strong diversification benefit — frontier curves noticeably left</t>
  </si>
  <si>
    <t>ρ = –1.00  →  Perfect hedge — risk can theoretically be reduced to zero</t>
  </si>
  <si>
    <t>MARKET PARAMETERS  (for CML, CAPM &amp; SML)</t>
  </si>
  <si>
    <t>Risk-Free Rate  Rf</t>
  </si>
  <si>
    <t>T-bill / G-Sec rate. Enter decimal: 0.05 = 5%</t>
  </si>
  <si>
    <t>Expected Market Return  E(Rm)</t>
  </si>
  <si>
    <t>Nifty 500 expected return. Enter decimal.</t>
  </si>
  <si>
    <t>Market Standard Deviation  σm</t>
  </si>
  <si>
    <t>Market portfolio std dev. Enter decimal.</t>
  </si>
  <si>
    <t>Market Risk Premium  (auto-calculated)</t>
  </si>
  <si>
    <t>Calc: E(Rm) – Rf  |  Links to Inputs above</t>
  </si>
  <si>
    <t>TWO-ASSET FRONTIER CALCULATIONS  —  101 Portfolios (wA from 0% to 100%)</t>
  </si>
  <si>
    <t>#</t>
  </si>
  <si>
    <t>wA (Asset A)</t>
  </si>
  <si>
    <t>wB (Asset B)</t>
  </si>
  <si>
    <t>E(Rp) Return</t>
  </si>
  <si>
    <t>Wtd Avg Risk</t>
  </si>
  <si>
    <t>Variance σp²</t>
  </si>
  <si>
    <t>Std Dev σp</t>
  </si>
  <si>
    <t>Divers. Benefit</t>
  </si>
  <si>
    <t>Sharpe Ratio</t>
  </si>
  <si>
    <t>Eff Frontier X
(σp or NA)</t>
  </si>
  <si>
    <t>Eff Frontier Y
(E(Rp) or NA)</t>
  </si>
  <si>
    <t>Opp Set X
(σp)</t>
  </si>
  <si>
    <t>Opp Set Y
(E(Rp))</t>
  </si>
  <si>
    <t>MVP Flag</t>
  </si>
  <si>
    <t>Point Label</t>
  </si>
  <si>
    <t>Std Dev X</t>
  </si>
  <si>
    <t>Return Y</t>
  </si>
  <si>
    <t>Asset A (100% in A)</t>
  </si>
  <si>
    <t>Asset B (100% in B)</t>
  </si>
  <si>
    <t>Min Variance Portfolio</t>
  </si>
  <si>
    <t>EFFICIENT FRONTIER CHART  —  Two-Asset Portfolio Opportunity Set</t>
  </si>
  <si>
    <t>This XY Scatter chart shows: (1) Full Opportunity Set [gray] — all 101 portfolios, (2) Efficient Frontier [navy] — from MVP upward, (3) MVP [red diamond], (4) Asset A [green circle], (5) Asset B [orange square]. Change Correlation on the Inputs sheet to see the curve shift live.</t>
  </si>
  <si>
    <t>KEY CHART NOTES:
• X-axis = Portfolio Standard Deviation σp (risk). Y-axis = Expected Return E(Rp).
• The full parabola (gray) is the Opportunity Set — all possible risk-return combinations.
• The EFFICIENT FRONTIER (navy) = upper portion from MVP to Asset A. These are not dominated.
• Portfolios below the MVP (lower arc) are DOMINATED — same risk, lower return.
• Change ρ on Inputs sheet to see: ρ = +1 gives a straight line; ρ &lt; +1 gives a curve.</t>
  </si>
  <si>
    <t>HOW CORRELATION SHAPES THE OPPORTUNITY SET  —  Five Curves Comparison</t>
  </si>
  <si>
    <t>wA</t>
  </si>
  <si>
    <t>wB</t>
  </si>
  <si>
    <t>E(Rp)</t>
  </si>
  <si>
    <t>σp  (ρ = +1.00)</t>
  </si>
  <si>
    <t>σp  (ρ = +0.50)</t>
  </si>
  <si>
    <t>σp  (ρ =  0.00)</t>
  </si>
  <si>
    <t>σp  (ρ = –0.50)</t>
  </si>
  <si>
    <t>σp  (ρ = –1.00)</t>
  </si>
  <si>
    <t>ρ = +1.00: No diversification benefit. The opportunity set collapses to a straight line. Adding Asset B does not reduce portfolio risk at all.</t>
  </si>
  <si>
    <t>ρ = +0.50: Partial diversification benefit. The frontier curves gently — some risk reduction when combining assets.</t>
  </si>
  <si>
    <t>ρ =  0.00: Strong diversification benefit. Assets move independently. Portfolio risk is noticeably below the weighted average.</t>
  </si>
  <si>
    <t>ρ = –0.50: Very strong diversification. The frontier curves significantly to the left — substantial risk reduction.</t>
  </si>
  <si>
    <t>ρ = –1.00: Perfect hedge. At the right weight combination, portfolio risk can theoretically reach zero.</t>
  </si>
  <si>
    <t>MINIMUM VARIANCE PORTFOLIO (MVP)  —  ANALYTICAL SOLUTION</t>
  </si>
  <si>
    <t>I.  Input Parameters  (Linked from Inputs Sheet)</t>
  </si>
  <si>
    <t>Asset A – Expected Return  E(RA)</t>
  </si>
  <si>
    <t>Asset A – Standard Deviation  σA</t>
  </si>
  <si>
    <t>Asset B – Expected Return  E(RB)</t>
  </si>
  <si>
    <t>Asset B – Standard Deviation  σB</t>
  </si>
  <si>
    <t>Correlation  ρAB</t>
  </si>
  <si>
    <t>II.  Covariance Calculation</t>
  </si>
  <si>
    <t>Covariance  CovAB  =  ρAB × σA × σB</t>
  </si>
  <si>
    <t>Calc: ρAB × σA × σB</t>
  </si>
  <si>
    <t>III.  Minimum Variance Portfolio Weights  (Analytical Formula)</t>
  </si>
  <si>
    <t>Formula:  wA* = (σB² – CovAB) / (σA² + σB² – 2 × CovAB)</t>
  </si>
  <si>
    <t>MVP Weight in Asset A  (wA*)</t>
  </si>
  <si>
    <t>Calc: (σB² – CovAB) / (σA² + σB² – 2×CovAB)</t>
  </si>
  <si>
    <t>MVP Weight in Asset B  (wB*)</t>
  </si>
  <si>
    <t>Calc: 1 – wA*</t>
  </si>
  <si>
    <t>IV.  MVP Portfolio Statistics</t>
  </si>
  <si>
    <t>Expected Return  E(Rp_MVP)</t>
  </si>
  <si>
    <t>Portfolio Variance  σp²</t>
  </si>
  <si>
    <t>Portfolio Std Dev  σp_MVP</t>
  </si>
  <si>
    <t>Sharpe Ratio  (MVP)</t>
  </si>
  <si>
    <t>V.  Cross-Check: Analytical MVP vs. Numerical Table</t>
  </si>
  <si>
    <t>Minimum σp from 101-portfolio table</t>
  </si>
  <si>
    <t>Return at minimum σp (from table)</t>
  </si>
  <si>
    <t>Should match D19 above</t>
  </si>
  <si>
    <t>Difference (Analytical Std Dev – Table Std Dev)</t>
  </si>
  <si>
    <t>≈ 0 (tiny rounding diff between 1% step table &amp; exact formula)</t>
  </si>
  <si>
    <t>KEY INSIGHT:  The MVP minimises portfolio risk for the given assets and correlation. It is NOT necessarily the optimal portfolio for every investor. A risk-averse investor may prefer MVP; a growth-oriented investor may prefer a higher point on the Efficient Frontier. The MVP is simply the leftmost point of the opportunity set — the starting point of the Efficient Frontier.</t>
  </si>
  <si>
    <t>CAPITAL MARKET LINE (CML)  —  Introducing the Risk-Free Asset</t>
  </si>
  <si>
    <t>I.  Tangency Portfolio  (Maximum Sharpe Ratio Portfolio from the Two-Asset Frontier)</t>
  </si>
  <si>
    <t>Maximum Sharpe Ratio (= Tangency Portfolio Sharpe)</t>
  </si>
  <si>
    <t>Tangency Portfolio: Weight in Asset A</t>
  </si>
  <si>
    <t>Tangency Portfolio: Weight in Asset B</t>
  </si>
  <si>
    <t>Tangency Portfolio: Expected Return  E(RT)</t>
  </si>
  <si>
    <t>Tangency Portfolio: Std Dev  σT</t>
  </si>
  <si>
    <t>CML Slope  =  (E(RT) – Rf) / σT</t>
  </si>
  <si>
    <t>CML FORMULA:  E(Rp) = Rf + [(E(RT) – Rf) / σT] × σp  =  Rf + Sharpe_T × σp
The CML slope equals the Tangency Portfolio Sharpe Ratio. Every point on the CML is a mix of the risk-free asset and the Tangency Portfolio.
• wT &lt; 100%: Lending portfolio (hold some Rf + some Tangency)
• wT = 100%: Tangency Portfolio
• wT &gt; 100%: Leveraged / Borrowing portfolio (borrow at Rf to buy more Tangency)</t>
  </si>
  <si>
    <t>II.  CML Allocation Table  (wT from 0% to 150%)</t>
  </si>
  <si>
    <t>wT (Tangency)</t>
  </si>
  <si>
    <t>wRF (Risk-Free)</t>
  </si>
  <si>
    <t>Portfolio Return</t>
  </si>
  <si>
    <t>Portfolio Risk σp</t>
  </si>
  <si>
    <t>Region</t>
  </si>
  <si>
    <t>Lending Portfolio</t>
  </si>
  <si>
    <t>★ Tangency Portfolio</t>
  </si>
  <si>
    <t>Leveraged / Borrowing</t>
  </si>
  <si>
    <t>Risk-Free Asset (σ=0):</t>
  </si>
  <si>
    <t>CAPM CALCULATOR  —  Required Return = Rf + β × (E(Rm) – Rf)</t>
  </si>
  <si>
    <t>Market Parameters  (Linked from Inputs Sheet)</t>
  </si>
  <si>
    <t>Market Risk Premium  =  E(Rm) – Rf</t>
  </si>
  <si>
    <t>CAPM Required Returns by Beta</t>
  </si>
  <si>
    <t>Beta  β</t>
  </si>
  <si>
    <t>Risk Classification</t>
  </si>
  <si>
    <t>Required Return  E(Ri)</t>
  </si>
  <si>
    <t>Interpretation</t>
  </si>
  <si>
    <t>Defensive  (β &lt; 1)</t>
  </si>
  <si>
    <t>Half the market sensitivity — low-risk, defensive stock</t>
  </si>
  <si>
    <t>75% of market risk — near-defensive</t>
  </si>
  <si>
    <t>Market Risk  (β = 1)</t>
  </si>
  <si>
    <t>Exactly market risk — moves 1:1 with market</t>
  </si>
  <si>
    <t>Aggressive  (β &gt; 1)</t>
  </si>
  <si>
    <t>25% more sensitive than market</t>
  </si>
  <si>
    <t>50% more volatile than market</t>
  </si>
  <si>
    <t>Twice as volatile as market — high systematic risk</t>
  </si>
  <si>
    <t>CAPM FORMULA:  E(Ri) = Rf + βi × [E(Rm) – Rf]
• βi &lt; 1  →  Defensive: required return &lt; market return (lower systematic risk)
• βi = 1  →  Market portfolio: required return = market return
• βi &gt; 1  →  Aggressive: required return &gt; market return (higher systematic risk)
CRITICAL INSIGHT: CAPM rewards ONLY systematic (market-wide) risk measured by beta.
Unsystematic (firm-specific) risk earns NO reward because it can be diversified away.</t>
  </si>
  <si>
    <t>SECURITY MARKET LINE (SML)  —  Investment Decision Framework</t>
  </si>
  <si>
    <t>Market Parameters  (Linked from Inputs)</t>
  </si>
  <si>
    <t>Market Return  E(Rm)</t>
  </si>
  <si>
    <t>SML Data Points (β from 0 to 2, for chart)</t>
  </si>
  <si>
    <t>SML Required Return  E(Ri)</t>
  </si>
  <si>
    <t>Market Portfolio  (β=1):</t>
  </si>
  <si>
    <t>Risk-Free Asset  (β=0):</t>
  </si>
  <si>
    <t>Example Securities: Above, On, or Below the SML</t>
  </si>
  <si>
    <t>Security</t>
  </si>
  <si>
    <t>Beta β</t>
  </si>
  <si>
    <t>Expected Return E(Ri)</t>
  </si>
  <si>
    <t>Required Return (CAPM)</t>
  </si>
  <si>
    <t>Alpha α</t>
  </si>
  <si>
    <t>Investment Decision</t>
  </si>
  <si>
    <t>Security A</t>
  </si>
  <si>
    <t>Security B</t>
  </si>
  <si>
    <t>Security C</t>
  </si>
  <si>
    <t>SML DECISION RULE (based on Alpha = Expected Return – CAPM Required Return):
• Alpha &gt; 0  →  UNDERVALUED: Expected return &gt; Required return → Plot ABOVE SML → BUY
• Alpha = 0  →  FAIRLY VALUED: Expected return = Required return → Plot ON SML → HOLD
• Alpha &lt; 0  →  OVERVALUED: Expected return &lt; Required return → Plot BELOW SML → SELL
Note: SML uses BETA (systematic risk) on X-axis. CML uses STANDARD DEVIATION (total risk).
SML applies to ALL assets. CML applies ONLY to efficiently diversified portfolios.</t>
  </si>
  <si>
    <t>TEACHING DASHBOARD  —  Live Classroom Summary View</t>
  </si>
  <si>
    <t>Input Summary  (Change Values on Inputs Sheet)</t>
  </si>
  <si>
    <t>Key Output Summary  (Auto-Calculated — All Formula-Driven)</t>
  </si>
  <si>
    <t>Asset A  Return  E(RA)</t>
  </si>
  <si>
    <t>Minimum Variance Portfolio</t>
  </si>
  <si>
    <t>Asset A  Std Dev  σA</t>
  </si>
  <si>
    <t>MVP Return</t>
  </si>
  <si>
    <t>Asset B  Return  E(RB)</t>
  </si>
  <si>
    <t>MVP Std Dev  σ</t>
  </si>
  <si>
    <t>Asset B  Std Dev  σB</t>
  </si>
  <si>
    <t>MVP Weight in Asset A</t>
  </si>
  <si>
    <t>MVP Weight in Asset B</t>
  </si>
  <si>
    <t>MVP Sharpe Ratio</t>
  </si>
  <si>
    <t>Tangency Portfolio &amp; CML</t>
  </si>
  <si>
    <t>Tangency Return  E(RT)</t>
  </si>
  <si>
    <t>Tangency Std Dev  σT</t>
  </si>
  <si>
    <t>CML Slope  (Tangency Sharpe)</t>
  </si>
  <si>
    <t>Max Sharpe in Risky Frontier</t>
  </si>
  <si>
    <t>CLASSROOM DISCUSSION QUESTIONS</t>
  </si>
  <si>
    <t>1. Why does the frontier bend LEFT (toward lower risk) when correlation falls below +1?</t>
  </si>
  <si>
    <t>2. What happens to the shape of the frontier when ρ = +1? Why does it become a straight line?</t>
  </si>
  <si>
    <t>3. Can adding a RISKY asset to a portfolio actually REDUCE total portfolio risk? When and why?</t>
  </si>
  <si>
    <t>4. The MVP minimises risk. Why is it NOT necessarily the optimal portfolio for every investor?</t>
  </si>
  <si>
    <t>5. Why does the CML DOMINATE the risky-asset-only Efficient Frontier for all investors?</t>
  </si>
  <si>
    <t>6. CAPM rewards ONLY systematic risk (beta). Why does unsystematic risk earn no return premium?</t>
  </si>
  <si>
    <t>7. If Security C plots BELOW the SML, what does that signal to an investor? What should they do?</t>
  </si>
  <si>
    <t>SUGGESTED SEQUENCE</t>
  </si>
  <si>
    <r>
      <rPr>
        <b/>
        <sz val="13"/>
        <color theme="1"/>
        <rFont val="Calibri"/>
        <family val="2"/>
      </rPr>
      <t xml:space="preserve">Srikanth Potharla </t>
    </r>
    <r>
      <rPr>
        <sz val="13"/>
        <color theme="1"/>
        <rFont val="Calibri"/>
        <family val="2"/>
        <charset val="1"/>
      </rPr>
      <t>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</si>
</sst>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x14ac:knownFonts="1">
    <font>
      <sz val="11"/>
      <color theme="1"/>
      <name val="Calibri"/>
      <family val="2"/>
      <charset val="1"/>
    </font>
    <font>
      <sz val="11"/>
      <color theme="1"/>
      <name val="Calibri"/>
      <family val="2"/>
      <scheme val="minor"/>
    </font>
    <font>
      <b/>
      <sz val="12"/>
      <color rgb="FFFFFFFF"/>
      <name val="Arial"/>
      <family val="2"/>
    </font>
    <font>
      <b/>
      <sz val="10"/>
      <color rgb="FFFFFFFF"/>
      <name val="Arial"/>
      <family val="2"/>
    </font>
    <font>
      <sz val="10"/>
      <color rgb="FF000000"/>
      <name val="Arial"/>
      <family val="2"/>
    </font>
    <font>
      <b/>
      <sz val="9"/>
      <color rgb="FFFFFFFF"/>
      <name val="Arial"/>
      <family val="2"/>
    </font>
    <font>
      <b/>
      <sz val="10"/>
      <color rgb="FF0000FF"/>
      <name val="Arial"/>
      <family val="2"/>
    </font>
    <font>
      <sz val="9"/>
      <color rgb="FF595959"/>
      <name val="Arial"/>
      <family val="2"/>
    </font>
    <font>
      <b/>
      <sz val="10"/>
      <color rgb="FF000000"/>
      <name val="Arial"/>
      <family val="2"/>
    </font>
    <font>
      <sz val="10"/>
      <color rgb="FF008000"/>
      <name val="Arial"/>
      <family val="2"/>
    </font>
    <font>
      <sz val="10"/>
      <color rgb="FF1F3864"/>
      <name val="Arial"/>
      <family val="2"/>
    </font>
    <font>
      <sz val="9"/>
      <color rgb="FF1F3864"/>
      <name val="Arial"/>
      <family val="2"/>
    </font>
    <font>
      <b/>
      <sz val="10"/>
      <color rgb="FF1F3864"/>
      <name val="Arial"/>
      <family val="2"/>
    </font>
    <font>
      <sz val="9"/>
      <color rgb="FF000000"/>
      <name val="Arial"/>
      <family val="2"/>
    </font>
    <font>
      <b/>
      <sz val="9"/>
      <color rgb="FF000000"/>
      <name val="Arial"/>
      <family val="2"/>
    </font>
    <font>
      <sz val="13"/>
      <color theme="1"/>
      <name val="Calibri"/>
      <family val="2"/>
      <charset val="1"/>
    </font>
    <font>
      <b/>
      <sz val="13"/>
      <color theme="1"/>
      <name val="Calibri"/>
      <family val="2"/>
    </font>
    <font>
      <sz val="13"/>
      <color theme="1"/>
      <name val="Calibri"/>
      <family val="2"/>
    </font>
  </fonts>
  <fills count="13">
    <fill>
      <patternFill patternType="none"/>
    </fill>
    <fill>
      <patternFill patternType="gray125"/>
    </fill>
    <fill>
      <patternFill patternType="solid">
        <fgColor rgb="FF1F3864"/>
        <bgColor rgb="FF333333"/>
      </patternFill>
    </fill>
    <fill>
      <patternFill patternType="solid">
        <fgColor rgb="FF2E75B6"/>
        <bgColor rgb="FF4472C4"/>
      </patternFill>
    </fill>
    <fill>
      <patternFill patternType="solid">
        <fgColor rgb="FFFCE4D6"/>
        <bgColor rgb="FFFFE7E7"/>
      </patternFill>
    </fill>
    <fill>
      <patternFill patternType="solid">
        <fgColor rgb="FF4472C4"/>
        <bgColor rgb="FF2E75B6"/>
      </patternFill>
    </fill>
    <fill>
      <patternFill patternType="solid">
        <fgColor rgb="FFFFFF00"/>
        <bgColor rgb="FFFFFF00"/>
      </patternFill>
    </fill>
    <fill>
      <patternFill patternType="solid">
        <fgColor rgb="FFDEEAF1"/>
        <bgColor rgb="FFE2EFDA"/>
      </patternFill>
    </fill>
    <fill>
      <patternFill patternType="solid">
        <fgColor rgb="FFF2F2F2"/>
        <bgColor rgb="FFFFE7E7"/>
      </patternFill>
    </fill>
    <fill>
      <patternFill patternType="solid">
        <fgColor rgb="FFFFE7E7"/>
        <bgColor rgb="FFFCE4D6"/>
      </patternFill>
    </fill>
    <fill>
      <patternFill patternType="solid">
        <fgColor rgb="FFE2EFDA"/>
        <bgColor rgb="FFDEEAF1"/>
      </patternFill>
    </fill>
    <fill>
      <patternFill patternType="solid">
        <fgColor rgb="FFBDD7EE"/>
        <bgColor rgb="FFCCCCCC"/>
      </patternFill>
    </fill>
    <fill>
      <patternFill patternType="solid">
        <fgColor theme="3" tint="0.79998168889431442"/>
        <bgColor indexed="64"/>
      </patternFill>
    </fill>
  </fills>
  <borders count="8">
    <border>
      <left/>
      <right/>
      <top/>
      <bottom/>
      <diagonal/>
    </border>
    <border>
      <left style="medium">
        <color rgb="FF1F3864"/>
      </left>
      <right style="medium">
        <color rgb="FF1F3864"/>
      </right>
      <top style="medium">
        <color rgb="FF1F3864"/>
      </top>
      <bottom style="medium">
        <color rgb="FF1F3864"/>
      </bottom>
      <diagonal/>
    </border>
    <border>
      <left style="thin">
        <color rgb="FF2E75B6"/>
      </left>
      <right style="thin">
        <color rgb="FF2E75B6"/>
      </right>
      <top style="thin">
        <color rgb="FF2E75B6"/>
      </top>
      <bottom style="thin">
        <color rgb="FF2E75B6"/>
      </bottom>
      <diagonal/>
    </border>
    <border>
      <left style="thin">
        <color rgb="FFDDDDDD"/>
      </left>
      <right style="thin">
        <color rgb="FFDDDDDD"/>
      </right>
      <top style="thin">
        <color rgb="FFDDDDDD"/>
      </top>
      <bottom style="thin">
        <color rgb="FFDDDDDD"/>
      </bottom>
      <diagonal/>
    </border>
    <border>
      <left style="thin">
        <color rgb="FF4472C4"/>
      </left>
      <right style="thin">
        <color rgb="FF4472C4"/>
      </right>
      <top style="thin">
        <color rgb="FF4472C4"/>
      </top>
      <bottom style="thin">
        <color rgb="FF4472C4"/>
      </bottom>
      <diagonal/>
    </border>
    <border>
      <left style="medium">
        <color rgb="FF4472C4"/>
      </left>
      <right style="medium">
        <color rgb="FF4472C4"/>
      </right>
      <top style="medium">
        <color rgb="FF4472C4"/>
      </top>
      <bottom style="medium">
        <color rgb="FF4472C4"/>
      </bottom>
      <diagonal/>
    </border>
    <border>
      <left style="thin">
        <color rgb="FFCCCCCC"/>
      </left>
      <right style="thin">
        <color rgb="FFCCCCCC"/>
      </right>
      <top style="thin">
        <color rgb="FFCCCCCC"/>
      </top>
      <bottom style="thin">
        <color rgb="FFCCCCCC"/>
      </bottom>
      <diagonal/>
    </border>
    <border>
      <left style="medium">
        <color rgb="FF2E75B6"/>
      </left>
      <right style="medium">
        <color rgb="FF2E75B6"/>
      </right>
      <top style="medium">
        <color rgb="FF2E75B6"/>
      </top>
      <bottom style="medium">
        <color rgb="FF2E75B6"/>
      </bottom>
      <diagonal/>
    </border>
  </borders>
  <cellStyleXfs count="2">
    <xf numFmtId="0" fontId="0" fillId="0" borderId="0"/>
    <xf numFmtId="0" fontId="1" fillId="0" borderId="0"/>
  </cellStyleXfs>
  <cellXfs count="58">
    <xf numFmtId="0" fontId="0" fillId="0" borderId="0" xfId="0"/>
    <xf numFmtId="0" fontId="4" fillId="0" borderId="3" xfId="0" applyFont="1" applyBorder="1" applyAlignment="1">
      <alignment horizontal="left" vertical="center"/>
    </xf>
    <xf numFmtId="0" fontId="5" fillId="5" borderId="4" xfId="0" applyFont="1" applyFill="1" applyBorder="1" applyAlignment="1">
      <alignment horizontal="center" vertical="center" wrapText="1"/>
    </xf>
    <xf numFmtId="0" fontId="6" fillId="6" borderId="5" xfId="0" applyFont="1" applyFill="1" applyBorder="1" applyAlignment="1">
      <alignment horizontal="center" vertical="center"/>
    </xf>
    <xf numFmtId="10" fontId="6" fillId="6" borderId="5" xfId="0" applyNumberFormat="1" applyFont="1" applyFill="1" applyBorder="1" applyAlignment="1">
      <alignment horizontal="center" vertical="center"/>
    </xf>
    <xf numFmtId="2" fontId="6" fillId="6" borderId="5" xfId="0" applyNumberFormat="1" applyFont="1" applyFill="1" applyBorder="1" applyAlignment="1">
      <alignment horizontal="center" vertical="center"/>
    </xf>
    <xf numFmtId="0" fontId="8" fillId="0" borderId="3" xfId="0" applyFont="1" applyBorder="1" applyAlignment="1">
      <alignment horizontal="left" vertical="center"/>
    </xf>
    <xf numFmtId="10" fontId="9" fillId="0" borderId="6" xfId="0" applyNumberFormat="1" applyFont="1" applyBorder="1" applyAlignment="1">
      <alignment horizontal="center" vertical="center"/>
    </xf>
    <xf numFmtId="0" fontId="4" fillId="0" borderId="6" xfId="0" applyFont="1" applyBorder="1" applyAlignment="1">
      <alignment horizontal="center" vertical="center"/>
    </xf>
    <xf numFmtId="10" fontId="4" fillId="8" borderId="6" xfId="0" applyNumberFormat="1" applyFont="1" applyFill="1" applyBorder="1" applyAlignment="1">
      <alignment horizontal="center" vertical="center"/>
    </xf>
    <xf numFmtId="10" fontId="9" fillId="8" borderId="6" xfId="0" applyNumberFormat="1" applyFont="1" applyFill="1" applyBorder="1" applyAlignment="1">
      <alignment horizontal="center" vertical="center"/>
    </xf>
    <xf numFmtId="164" fontId="9" fillId="8" borderId="6" xfId="0" applyNumberFormat="1" applyFont="1" applyFill="1" applyBorder="1" applyAlignment="1">
      <alignment horizontal="center" vertical="center"/>
    </xf>
    <xf numFmtId="2" fontId="4" fillId="8" borderId="6" xfId="0" applyNumberFormat="1" applyFont="1" applyFill="1" applyBorder="1" applyAlignment="1">
      <alignment horizontal="center" vertical="center"/>
    </xf>
    <xf numFmtId="0" fontId="4" fillId="8" borderId="6" xfId="0" applyFont="1" applyFill="1" applyBorder="1" applyAlignment="1">
      <alignment horizontal="center" vertical="center"/>
    </xf>
    <xf numFmtId="10" fontId="4" fillId="0" borderId="6" xfId="0" applyNumberFormat="1" applyFont="1" applyBorder="1" applyAlignment="1">
      <alignment horizontal="center" vertical="center"/>
    </xf>
    <xf numFmtId="164" fontId="9" fillId="0" borderId="6" xfId="0" applyNumberFormat="1" applyFont="1" applyBorder="1" applyAlignment="1">
      <alignment horizontal="center" vertical="center"/>
    </xf>
    <xf numFmtId="2" fontId="4" fillId="0" borderId="6" xfId="0" applyNumberFormat="1" applyFont="1" applyBorder="1" applyAlignment="1">
      <alignment horizontal="center" vertical="center"/>
    </xf>
    <xf numFmtId="0" fontId="4" fillId="0" borderId="6" xfId="0" applyFont="1" applyBorder="1" applyAlignment="1">
      <alignment horizontal="left" vertical="center"/>
    </xf>
    <xf numFmtId="2" fontId="9" fillId="0" borderId="6" xfId="0" applyNumberFormat="1" applyFont="1" applyBorder="1" applyAlignment="1">
      <alignment horizontal="center" vertical="center"/>
    </xf>
    <xf numFmtId="164" fontId="4" fillId="0" borderId="6" xfId="0" applyNumberFormat="1" applyFont="1" applyBorder="1" applyAlignment="1">
      <alignment horizontal="center" vertical="center"/>
    </xf>
    <xf numFmtId="10" fontId="4" fillId="0" borderId="3" xfId="0" applyNumberFormat="1" applyFont="1" applyBorder="1" applyAlignment="1">
      <alignment horizontal="left" vertical="center"/>
    </xf>
    <xf numFmtId="10" fontId="4" fillId="0" borderId="6" xfId="0" applyNumberFormat="1" applyFont="1" applyBorder="1" applyAlignment="1">
      <alignment horizontal="left" vertical="center"/>
    </xf>
    <xf numFmtId="0" fontId="4" fillId="10" borderId="6" xfId="0" applyFont="1" applyFill="1" applyBorder="1" applyAlignment="1">
      <alignment horizontal="left" vertical="center"/>
    </xf>
    <xf numFmtId="0" fontId="4" fillId="6" borderId="6" xfId="0" applyFont="1" applyFill="1" applyBorder="1" applyAlignment="1">
      <alignment horizontal="left" vertical="center"/>
    </xf>
    <xf numFmtId="0" fontId="4" fillId="4" borderId="6" xfId="0" applyFont="1" applyFill="1" applyBorder="1" applyAlignment="1">
      <alignment horizontal="left" vertical="center"/>
    </xf>
    <xf numFmtId="0" fontId="13" fillId="0" borderId="6" xfId="0" applyFont="1" applyBorder="1" applyAlignment="1">
      <alignment horizontal="left" vertical="center"/>
    </xf>
    <xf numFmtId="2" fontId="4" fillId="10" borderId="6" xfId="0" applyNumberFormat="1" applyFont="1" applyFill="1" applyBorder="1" applyAlignment="1">
      <alignment horizontal="center" vertical="center"/>
    </xf>
    <xf numFmtId="10" fontId="4" fillId="10" borderId="6" xfId="0" applyNumberFormat="1" applyFont="1" applyFill="1" applyBorder="1" applyAlignment="1">
      <alignment horizontal="center" vertical="center"/>
    </xf>
    <xf numFmtId="2" fontId="4" fillId="6" borderId="6" xfId="0" applyNumberFormat="1" applyFont="1" applyFill="1" applyBorder="1" applyAlignment="1">
      <alignment horizontal="center" vertical="center"/>
    </xf>
    <xf numFmtId="10" fontId="4" fillId="6" borderId="6" xfId="0" applyNumberFormat="1" applyFont="1" applyFill="1" applyBorder="1" applyAlignment="1">
      <alignment horizontal="center" vertical="center"/>
    </xf>
    <xf numFmtId="2" fontId="4" fillId="4" borderId="6" xfId="0" applyNumberFormat="1" applyFont="1" applyFill="1" applyBorder="1" applyAlignment="1">
      <alignment horizontal="center" vertical="center"/>
    </xf>
    <xf numFmtId="10" fontId="4" fillId="4" borderId="6" xfId="0" applyNumberFormat="1" applyFont="1" applyFill="1" applyBorder="1" applyAlignment="1">
      <alignment horizontal="center" vertical="center"/>
    </xf>
    <xf numFmtId="2" fontId="4" fillId="9" borderId="6" xfId="0" applyNumberFormat="1" applyFont="1" applyFill="1" applyBorder="1" applyAlignment="1">
      <alignment horizontal="center" vertical="center"/>
    </xf>
    <xf numFmtId="0" fontId="4" fillId="9" borderId="6" xfId="0" applyFont="1" applyFill="1" applyBorder="1" applyAlignment="1">
      <alignment horizontal="left" vertical="center"/>
    </xf>
    <xf numFmtId="10" fontId="4" fillId="9" borderId="6" xfId="0" applyNumberFormat="1" applyFont="1" applyFill="1" applyBorder="1" applyAlignment="1">
      <alignment horizontal="center" vertical="center"/>
    </xf>
    <xf numFmtId="0" fontId="14" fillId="0" borderId="0" xfId="0" applyFont="1" applyAlignment="1">
      <alignment horizontal="left" vertical="center"/>
    </xf>
    <xf numFmtId="2" fontId="4" fillId="0" borderId="6" xfId="0" applyNumberFormat="1" applyFont="1" applyBorder="1" applyAlignment="1">
      <alignment horizontal="left" vertical="center"/>
    </xf>
    <xf numFmtId="0" fontId="8" fillId="10" borderId="6" xfId="0" applyFont="1" applyFill="1" applyBorder="1" applyAlignment="1">
      <alignment horizontal="left" vertical="center"/>
    </xf>
    <xf numFmtId="0" fontId="4" fillId="10" borderId="6" xfId="0" applyFont="1" applyFill="1" applyBorder="1" applyAlignment="1">
      <alignment horizontal="center" vertical="center"/>
    </xf>
    <xf numFmtId="0" fontId="8" fillId="9" borderId="6" xfId="0" applyFont="1" applyFill="1" applyBorder="1" applyAlignment="1">
      <alignment horizontal="left" vertical="center"/>
    </xf>
    <xf numFmtId="0" fontId="4" fillId="9" borderId="6" xfId="0" applyFont="1" applyFill="1" applyBorder="1" applyAlignment="1">
      <alignment horizontal="center" vertical="center"/>
    </xf>
    <xf numFmtId="0" fontId="4" fillId="4" borderId="3" xfId="0" applyFont="1" applyFill="1" applyBorder="1" applyAlignment="1">
      <alignment horizontal="left" vertical="center"/>
    </xf>
    <xf numFmtId="0" fontId="3" fillId="3" borderId="2" xfId="0" applyFont="1" applyFill="1" applyBorder="1" applyAlignment="1">
      <alignment horizontal="left" vertical="center"/>
    </xf>
    <xf numFmtId="0" fontId="4" fillId="0" borderId="3" xfId="0" applyFont="1" applyBorder="1" applyAlignment="1">
      <alignment horizontal="left" vertical="center"/>
    </xf>
    <xf numFmtId="0" fontId="2" fillId="2" borderId="1" xfId="0" applyFont="1" applyFill="1" applyBorder="1" applyAlignment="1">
      <alignment horizontal="left" vertical="center"/>
    </xf>
    <xf numFmtId="0" fontId="4" fillId="0" borderId="3" xfId="0" applyFont="1" applyBorder="1" applyAlignment="1">
      <alignment horizontal="left" vertical="center" wrapText="1"/>
    </xf>
    <xf numFmtId="0" fontId="7" fillId="7" borderId="0" xfId="0" applyFont="1" applyFill="1" applyAlignment="1">
      <alignment horizontal="left" vertical="center"/>
    </xf>
    <xf numFmtId="0" fontId="7" fillId="7" borderId="2" xfId="0" applyFont="1" applyFill="1" applyBorder="1" applyAlignment="1">
      <alignment horizontal="left" vertical="center" wrapText="1"/>
    </xf>
    <xf numFmtId="0" fontId="10" fillId="7" borderId="7" xfId="0" applyFont="1" applyFill="1" applyBorder="1" applyAlignment="1">
      <alignment horizontal="left" vertical="center" wrapText="1"/>
    </xf>
    <xf numFmtId="0" fontId="11" fillId="11" borderId="2" xfId="0" applyFont="1" applyFill="1" applyBorder="1" applyAlignment="1">
      <alignment horizontal="left" vertical="center" wrapText="1"/>
    </xf>
    <xf numFmtId="0" fontId="11" fillId="9" borderId="2" xfId="0" applyFont="1" applyFill="1" applyBorder="1" applyAlignment="1">
      <alignment horizontal="left" vertical="center" wrapText="1"/>
    </xf>
    <xf numFmtId="0" fontId="11" fillId="4" borderId="2" xfId="0" applyFont="1" applyFill="1" applyBorder="1" applyAlignment="1">
      <alignment horizontal="left" vertical="center" wrapText="1"/>
    </xf>
    <xf numFmtId="0" fontId="11" fillId="10" borderId="2" xfId="0" applyFont="1" applyFill="1" applyBorder="1" applyAlignment="1">
      <alignment horizontal="left" vertical="center" wrapText="1"/>
    </xf>
    <xf numFmtId="0" fontId="11" fillId="7" borderId="2" xfId="0" applyFont="1" applyFill="1" applyBorder="1" applyAlignment="1">
      <alignment horizontal="left" vertical="center" wrapText="1"/>
    </xf>
    <xf numFmtId="0" fontId="12" fillId="7" borderId="2" xfId="0" applyFont="1" applyFill="1" applyBorder="1" applyAlignment="1">
      <alignment horizontal="left" vertical="center"/>
    </xf>
    <xf numFmtId="0" fontId="10" fillId="7" borderId="2" xfId="0" applyFont="1" applyFill="1" applyBorder="1" applyAlignment="1">
      <alignment horizontal="left" vertical="center" wrapText="1"/>
    </xf>
    <xf numFmtId="0" fontId="15" fillId="12" borderId="0" xfId="0" applyFont="1" applyFill="1" applyAlignment="1">
      <alignment horizontal="left" wrapText="1"/>
    </xf>
    <xf numFmtId="0" fontId="17" fillId="12" borderId="0" xfId="0" applyFont="1" applyFill="1" applyAlignment="1">
      <alignment horizontal="left" wrapText="1"/>
    </xf>
  </cellXfs>
  <cellStyles count="2">
    <cellStyle name="Normal" xfId="0" builtinId="0"/>
    <cellStyle name="Normal 2" xfId="1" xr:uid="{17F06F1C-3E9A-4F03-B534-1EE402270432}"/>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CCCCC"/>
      <rgbColor rgb="FF878787"/>
      <rgbColor rgb="FF9999FF"/>
      <rgbColor rgb="FF7030A0"/>
      <rgbColor rgb="FFF2F2F2"/>
      <rgbColor rgb="FFDEEAF1"/>
      <rgbColor rgb="FF660066"/>
      <rgbColor rgb="FFFF8080"/>
      <rgbColor rgb="FF2E75B6"/>
      <rgbColor rgb="FFBDD7EE"/>
      <rgbColor rgb="FF000080"/>
      <rgbColor rgb="FFFF00FF"/>
      <rgbColor rgb="FFFFFF00"/>
      <rgbColor rgb="FF00FFFF"/>
      <rgbColor rgb="FF800080"/>
      <rgbColor rgb="FF800000"/>
      <rgbColor rgb="FF008080"/>
      <rgbColor rgb="FF0000FF"/>
      <rgbColor rgb="FF00CCFF"/>
      <rgbColor rgb="FFDDDDDD"/>
      <rgbColor rgb="FFE2EFDA"/>
      <rgbColor rgb="FFFFE7E7"/>
      <rgbColor rgb="FFD9D9D9"/>
      <rgbColor rgb="FFFF99CC"/>
      <rgbColor rgb="FFCC99FF"/>
      <rgbColor rgb="FFFCE4D6"/>
      <rgbColor rgb="FF4472C4"/>
      <rgbColor rgb="FF33CCCC"/>
      <rgbColor rgb="FFC9A600"/>
      <rgbColor rgb="FFFFCC00"/>
      <rgbColor rgb="FFFF8C00"/>
      <rgbColor rgb="FFED7D31"/>
      <rgbColor rgb="FF595959"/>
      <rgbColor rgb="FFA0A0A0"/>
      <rgbColor rgb="FF1F3864"/>
      <rgbColor rgb="FF70AD47"/>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Two-Asset Efficient Frontier</a:t>
            </a:r>
          </a:p>
        </c:rich>
      </c:tx>
      <c:overlay val="0"/>
      <c:spPr>
        <a:noFill/>
        <a:ln w="0">
          <a:noFill/>
        </a:ln>
      </c:spPr>
    </c:title>
    <c:autoTitleDeleted val="0"/>
    <c:plotArea>
      <c:layout/>
      <c:scatterChart>
        <c:scatterStyle val="lineMarker"/>
        <c:varyColors val="0"/>
        <c:ser>
          <c:idx val="0"/>
          <c:order val="0"/>
          <c:tx>
            <c:v>Full Opportunity Set</c:v>
          </c:tx>
          <c:spPr>
            <a:ln w="15120">
              <a:solidFill>
                <a:srgbClr val="A0A0A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'Two-Asset Frontier Calculations'!$L$3:$L$103</c:f>
              <c:numCache>
                <c:formatCode>0.00%</c:formatCode>
                <c:ptCount val="101"/>
                <c:pt idx="0">
                  <c:v>0.12</c:v>
                </c:pt>
                <c:pt idx="1">
                  <c:v>0.11957378475234444</c:v>
                </c:pt>
                <c:pt idx="2">
                  <c:v>0.1191954697125692</c:v>
                </c:pt>
                <c:pt idx="3">
                  <c:v>0.11886551223967362</c:v>
                </c:pt>
                <c:pt idx="4">
                  <c:v>0.1185843159949915</c:v>
                </c:pt>
                <c:pt idx="5">
                  <c:v>0.11835222853837607</c:v>
                </c:pt>
                <c:pt idx="6">
                  <c:v>0.11816953922225472</c:v>
                </c:pt>
                <c:pt idx="7">
                  <c:v>0.11803647741270491</c:v>
                </c:pt>
                <c:pt idx="8">
                  <c:v>0.11795321106269213</c:v>
                </c:pt>
                <c:pt idx="9">
                  <c:v>0.11791984565797227</c:v>
                </c:pt>
                <c:pt idx="10">
                  <c:v>0.11793642355099633</c:v>
                </c:pt>
                <c:pt idx="11">
                  <c:v>0.11800292369259331</c:v>
                </c:pt>
                <c:pt idx="12">
                  <c:v>0.11811926176538692</c:v>
                </c:pt>
                <c:pt idx="13">
                  <c:v>0.11828529071697799</c:v>
                </c:pt>
                <c:pt idx="14">
                  <c:v>0.11850080168505191</c:v>
                </c:pt>
                <c:pt idx="15">
                  <c:v>0.11876552530090539</c:v>
                </c:pt>
                <c:pt idx="16">
                  <c:v>0.11907913335257357</c:v>
                </c:pt>
                <c:pt idx="17">
                  <c:v>0.11944124078391015</c:v>
                </c:pt>
                <c:pt idx="18">
                  <c:v>0.1198514080017419</c:v>
                </c:pt>
                <c:pt idx="19">
                  <c:v>0.12030914345967227</c:v>
                </c:pt>
                <c:pt idx="20">
                  <c:v>0.12081390648431166</c:v>
                </c:pt>
                <c:pt idx="21">
                  <c:v>0.12136511030769923</c:v>
                </c:pt>
                <c:pt idx="22">
                  <c:v>0.12196212526846192</c:v>
                </c:pt>
                <c:pt idx="23">
                  <c:v>0.12260428214381421</c:v>
                </c:pt>
                <c:pt idx="24">
                  <c:v>0.1232908755747967</c:v>
                </c:pt>
                <c:pt idx="25">
                  <c:v>0.12402116754812462</c:v>
                </c:pt>
                <c:pt idx="26">
                  <c:v>0.12479439089959131</c:v>
                </c:pt>
                <c:pt idx="27">
                  <c:v>0.12560975280606199</c:v>
                </c:pt>
                <c:pt idx="28">
                  <c:v>0.12646643823560463</c:v>
                </c:pt>
                <c:pt idx="29">
                  <c:v>0.12736361332814014</c:v>
                </c:pt>
                <c:pt idx="30">
                  <c:v>0.12830042868205857</c:v>
                </c:pt>
                <c:pt idx="31">
                  <c:v>0.12927602252544745</c:v>
                </c:pt>
                <c:pt idx="32">
                  <c:v>0.13028952375383063</c:v>
                </c:pt>
                <c:pt idx="33">
                  <c:v>0.13134005481954086</c:v>
                </c:pt>
                <c:pt idx="34">
                  <c:v>0.1324267344609841</c:v>
                </c:pt>
                <c:pt idx="35">
                  <c:v>0.13354868026304115</c:v>
                </c:pt>
                <c:pt idx="36">
                  <c:v>0.13470501104264829</c:v>
                </c:pt>
                <c:pt idx="37">
                  <c:v>0.13589484905617283</c:v>
                </c:pt>
                <c:pt idx="38">
                  <c:v>0.13711732202752502</c:v>
                </c:pt>
                <c:pt idx="39">
                  <c:v>0.13837156499801539</c:v>
                </c:pt>
                <c:pt idx="40">
                  <c:v>0.13965672200076873</c:v>
                </c:pt>
                <c:pt idx="41">
                  <c:v>0.14097194756404552</c:v>
                </c:pt>
                <c:pt idx="42">
                  <c:v>0.14231640804910725</c:v>
                </c:pt>
                <c:pt idx="43">
                  <c:v>0.14368928282930499</c:v>
                </c:pt>
                <c:pt idx="44">
                  <c:v>0.14508976531788864</c:v>
                </c:pt>
                <c:pt idx="45">
                  <c:v>0.14651706385264482</c:v>
                </c:pt>
                <c:pt idx="46">
                  <c:v>0.14797040244589457</c:v>
                </c:pt>
                <c:pt idx="47">
                  <c:v>0.14944902140863955</c:v>
                </c:pt>
                <c:pt idx="48">
                  <c:v>0.1509521778577573</c:v>
                </c:pt>
                <c:pt idx="49">
                  <c:v>0.15247914611513275</c:v>
                </c:pt>
                <c:pt idx="50">
                  <c:v>0.15402921800749364</c:v>
                </c:pt>
                <c:pt idx="51">
                  <c:v>0.15560170307551263</c:v>
                </c:pt>
                <c:pt idx="52">
                  <c:v>0.15719592870045968</c:v>
                </c:pt>
                <c:pt idx="53">
                  <c:v>0.1588112401563567</c:v>
                </c:pt>
                <c:pt idx="54">
                  <c:v>0.16044700059521214</c:v>
                </c:pt>
                <c:pt idx="55">
                  <c:v>0.16210259097250729</c:v>
                </c:pt>
                <c:pt idx="56">
                  <c:v>0.16377740991968337</c:v>
                </c:pt>
                <c:pt idx="57">
                  <c:v>0.16547087356994283</c:v>
                </c:pt>
                <c:pt idx="58">
                  <c:v>0.16718241534324116</c:v>
                </c:pt>
                <c:pt idx="59">
                  <c:v>0.16891148569591116</c:v>
                </c:pt>
                <c:pt idx="60">
                  <c:v>0.1706575518399347</c:v>
                </c:pt>
                <c:pt idx="61">
                  <c:v>0.17242009743646475</c:v>
                </c:pt>
                <c:pt idx="62">
                  <c:v>0.17419862226780095</c:v>
                </c:pt>
                <c:pt idx="63">
                  <c:v>0.17599264189164274</c:v>
                </c:pt>
                <c:pt idx="64">
                  <c:v>0.17780168728108292</c:v>
                </c:pt>
                <c:pt idx="65">
                  <c:v>0.17962530445346503</c:v>
                </c:pt>
                <c:pt idx="66">
                  <c:v>0.18146305409090854</c:v>
                </c:pt>
                <c:pt idx="67">
                  <c:v>0.18331451115500924</c:v>
                </c:pt>
                <c:pt idx="68">
                  <c:v>0.18517926449794536</c:v>
                </c:pt>
                <c:pt idx="69">
                  <c:v>0.18705691647196585</c:v>
                </c:pt>
                <c:pt idx="70">
                  <c:v>0.18894708253900086</c:v>
                </c:pt>
                <c:pt idx="71">
                  <c:v>0.19084939088192029</c:v>
                </c:pt>
                <c:pt idx="72">
                  <c:v>0.19276348201876828</c:v>
                </c:pt>
                <c:pt idx="73">
                  <c:v>0.19468900842112272</c:v>
                </c:pt>
                <c:pt idx="74">
                  <c:v>0.19662563413756609</c:v>
                </c:pt>
                <c:pt idx="75">
                  <c:v>0.19857303442310589</c:v>
                </c:pt>
                <c:pt idx="76">
                  <c:v>0.20053089537525134</c:v>
                </c:pt>
                <c:pt idx="77">
                  <c:v>0.20249891357733255</c:v>
                </c:pt>
                <c:pt idx="78">
                  <c:v>0.2044767957495422</c:v>
                </c:pt>
                <c:pt idx="79">
                  <c:v>0.2064642584080838</c:v>
                </c:pt>
                <c:pt idx="80">
                  <c:v>0.20846102753272613</c:v>
                </c:pt>
                <c:pt idx="81">
                  <c:v>0.21046683824298784</c:v>
                </c:pt>
                <c:pt idx="82">
                  <c:v>0.21248143448310963</c:v>
                </c:pt>
                <c:pt idx="83">
                  <c:v>0.21450456871591339</c:v>
                </c:pt>
                <c:pt idx="84">
                  <c:v>0.21653600162559575</c:v>
                </c:pt>
                <c:pt idx="85">
                  <c:v>0.21857550182945937</c:v>
                </c:pt>
                <c:pt idx="86">
                  <c:v>0.22062284559854631</c:v>
                </c:pt>
                <c:pt idx="87">
                  <c:v>0.22267781658710414</c:v>
                </c:pt>
                <c:pt idx="88">
                  <c:v>0.22474020557078789</c:v>
                </c:pt>
                <c:pt idx="89">
                  <c:v>0.22680981019347465</c:v>
                </c:pt>
                <c:pt idx="90">
                  <c:v>0.22888643472254969</c:v>
                </c:pt>
                <c:pt idx="91">
                  <c:v>0.23096988981250349</c:v>
                </c:pt>
                <c:pt idx="92">
                  <c:v>0.23305999227666682</c:v>
                </c:pt>
                <c:pt idx="93">
                  <c:v>0.23515656486689884</c:v>
                </c:pt>
                <c:pt idx="94">
                  <c:v>0.23725943606103428</c:v>
                </c:pt>
                <c:pt idx="95">
                  <c:v>0.23936843985788939</c:v>
                </c:pt>
                <c:pt idx="96">
                  <c:v>0.24148341557962114</c:v>
                </c:pt>
                <c:pt idx="97">
                  <c:v>0.24360420768123031</c:v>
                </c:pt>
                <c:pt idx="98">
                  <c:v>0.24573066556699835</c:v>
                </c:pt>
                <c:pt idx="99">
                  <c:v>0.24786264341364553</c:v>
                </c:pt>
                <c:pt idx="100">
                  <c:v>0.25</c:v>
                </c:pt>
              </c:numCache>
            </c:numRef>
          </c:xVal>
          <c:yVal>
            <c:numRef>
              <c:f>'Two-Asset Frontier Calculations'!$M$3:$M$103</c:f>
              <c:numCache>
                <c:formatCode>0.00%</c:formatCode>
                <c:ptCount val="101"/>
                <c:pt idx="0">
                  <c:v>0.08</c:v>
                </c:pt>
                <c:pt idx="1">
                  <c:v>8.0700000000000008E-2</c:v>
                </c:pt>
                <c:pt idx="2">
                  <c:v>8.14E-2</c:v>
                </c:pt>
                <c:pt idx="3">
                  <c:v>8.2100000000000006E-2</c:v>
                </c:pt>
                <c:pt idx="4">
                  <c:v>8.2799999999999999E-2</c:v>
                </c:pt>
                <c:pt idx="5">
                  <c:v>8.3499999999999991E-2</c:v>
                </c:pt>
                <c:pt idx="6">
                  <c:v>8.4199999999999997E-2</c:v>
                </c:pt>
                <c:pt idx="7">
                  <c:v>8.4899999999999989E-2</c:v>
                </c:pt>
                <c:pt idx="8">
                  <c:v>8.5599999999999996E-2</c:v>
                </c:pt>
                <c:pt idx="9">
                  <c:v>8.6300000000000002E-2</c:v>
                </c:pt>
                <c:pt idx="10">
                  <c:v>8.7000000000000008E-2</c:v>
                </c:pt>
                <c:pt idx="11">
                  <c:v>8.77E-2</c:v>
                </c:pt>
                <c:pt idx="12">
                  <c:v>8.8400000000000006E-2</c:v>
                </c:pt>
                <c:pt idx="13">
                  <c:v>8.9099999999999999E-2</c:v>
                </c:pt>
                <c:pt idx="14">
                  <c:v>8.9800000000000005E-2</c:v>
                </c:pt>
                <c:pt idx="15">
                  <c:v>9.0499999999999997E-2</c:v>
                </c:pt>
                <c:pt idx="16">
                  <c:v>9.1200000000000003E-2</c:v>
                </c:pt>
                <c:pt idx="17">
                  <c:v>9.1900000000000009E-2</c:v>
                </c:pt>
                <c:pt idx="18">
                  <c:v>9.2600000000000002E-2</c:v>
                </c:pt>
                <c:pt idx="19">
                  <c:v>9.3300000000000008E-2</c:v>
                </c:pt>
                <c:pt idx="20">
                  <c:v>9.4E-2</c:v>
                </c:pt>
                <c:pt idx="21">
                  <c:v>9.4700000000000006E-2</c:v>
                </c:pt>
                <c:pt idx="22">
                  <c:v>9.5400000000000013E-2</c:v>
                </c:pt>
                <c:pt idx="23">
                  <c:v>9.6100000000000005E-2</c:v>
                </c:pt>
                <c:pt idx="24">
                  <c:v>9.6799999999999997E-2</c:v>
                </c:pt>
                <c:pt idx="25">
                  <c:v>9.7500000000000003E-2</c:v>
                </c:pt>
                <c:pt idx="26">
                  <c:v>9.820000000000001E-2</c:v>
                </c:pt>
                <c:pt idx="27">
                  <c:v>9.8900000000000002E-2</c:v>
                </c:pt>
                <c:pt idx="28">
                  <c:v>9.9599999999999994E-2</c:v>
                </c:pt>
                <c:pt idx="29">
                  <c:v>0.1003</c:v>
                </c:pt>
                <c:pt idx="30">
                  <c:v>0.10099999999999999</c:v>
                </c:pt>
                <c:pt idx="31">
                  <c:v>0.1017</c:v>
                </c:pt>
                <c:pt idx="32">
                  <c:v>0.10239999999999999</c:v>
                </c:pt>
                <c:pt idx="33">
                  <c:v>0.1031</c:v>
                </c:pt>
                <c:pt idx="34">
                  <c:v>0.1038</c:v>
                </c:pt>
                <c:pt idx="35">
                  <c:v>0.1045</c:v>
                </c:pt>
                <c:pt idx="36">
                  <c:v>0.1052</c:v>
                </c:pt>
                <c:pt idx="37">
                  <c:v>0.10589999999999999</c:v>
                </c:pt>
                <c:pt idx="38">
                  <c:v>0.1066</c:v>
                </c:pt>
                <c:pt idx="39">
                  <c:v>0.10730000000000001</c:v>
                </c:pt>
                <c:pt idx="40">
                  <c:v>0.108</c:v>
                </c:pt>
                <c:pt idx="41">
                  <c:v>0.10869999999999999</c:v>
                </c:pt>
                <c:pt idx="42">
                  <c:v>0.1094</c:v>
                </c:pt>
                <c:pt idx="43">
                  <c:v>0.1101</c:v>
                </c:pt>
                <c:pt idx="44">
                  <c:v>0.11080000000000001</c:v>
                </c:pt>
                <c:pt idx="45">
                  <c:v>0.11150000000000002</c:v>
                </c:pt>
                <c:pt idx="46">
                  <c:v>0.11220000000000001</c:v>
                </c:pt>
                <c:pt idx="47">
                  <c:v>0.1129</c:v>
                </c:pt>
                <c:pt idx="48">
                  <c:v>0.11360000000000001</c:v>
                </c:pt>
                <c:pt idx="49">
                  <c:v>0.1143</c:v>
                </c:pt>
                <c:pt idx="50">
                  <c:v>0.11499999999999999</c:v>
                </c:pt>
                <c:pt idx="51">
                  <c:v>0.1157</c:v>
                </c:pt>
                <c:pt idx="52">
                  <c:v>0.1164</c:v>
                </c:pt>
                <c:pt idx="53">
                  <c:v>0.11710000000000001</c:v>
                </c:pt>
                <c:pt idx="54">
                  <c:v>0.1178</c:v>
                </c:pt>
                <c:pt idx="55">
                  <c:v>0.11849999999999999</c:v>
                </c:pt>
                <c:pt idx="56">
                  <c:v>0.1192</c:v>
                </c:pt>
                <c:pt idx="57">
                  <c:v>0.11990000000000001</c:v>
                </c:pt>
                <c:pt idx="58">
                  <c:v>0.1206</c:v>
                </c:pt>
                <c:pt idx="59">
                  <c:v>0.12129999999999999</c:v>
                </c:pt>
                <c:pt idx="60">
                  <c:v>0.122</c:v>
                </c:pt>
                <c:pt idx="61">
                  <c:v>0.1227</c:v>
                </c:pt>
                <c:pt idx="62">
                  <c:v>0.1234</c:v>
                </c:pt>
                <c:pt idx="63">
                  <c:v>0.1241</c:v>
                </c:pt>
                <c:pt idx="64">
                  <c:v>0.12479999999999999</c:v>
                </c:pt>
                <c:pt idx="65">
                  <c:v>0.1255</c:v>
                </c:pt>
                <c:pt idx="66">
                  <c:v>0.12620000000000001</c:v>
                </c:pt>
                <c:pt idx="67">
                  <c:v>0.12690000000000001</c:v>
                </c:pt>
                <c:pt idx="68">
                  <c:v>0.12759999999999999</c:v>
                </c:pt>
                <c:pt idx="69">
                  <c:v>0.1283</c:v>
                </c:pt>
                <c:pt idx="70">
                  <c:v>0.129</c:v>
                </c:pt>
                <c:pt idx="71">
                  <c:v>0.12970000000000001</c:v>
                </c:pt>
                <c:pt idx="72">
                  <c:v>0.13040000000000002</c:v>
                </c:pt>
                <c:pt idx="73">
                  <c:v>0.13109999999999999</c:v>
                </c:pt>
                <c:pt idx="74">
                  <c:v>0.1318</c:v>
                </c:pt>
                <c:pt idx="75">
                  <c:v>0.13249999999999998</c:v>
                </c:pt>
                <c:pt idx="76">
                  <c:v>0.13319999999999999</c:v>
                </c:pt>
                <c:pt idx="77">
                  <c:v>0.13389999999999999</c:v>
                </c:pt>
                <c:pt idx="78">
                  <c:v>0.1346</c:v>
                </c:pt>
                <c:pt idx="79">
                  <c:v>0.1353</c:v>
                </c:pt>
                <c:pt idx="80">
                  <c:v>0.13599999999999998</c:v>
                </c:pt>
                <c:pt idx="81">
                  <c:v>0.13669999999999999</c:v>
                </c:pt>
                <c:pt idx="82">
                  <c:v>0.13739999999999999</c:v>
                </c:pt>
                <c:pt idx="83">
                  <c:v>0.1381</c:v>
                </c:pt>
                <c:pt idx="84">
                  <c:v>0.13880000000000001</c:v>
                </c:pt>
                <c:pt idx="85">
                  <c:v>0.13950000000000001</c:v>
                </c:pt>
                <c:pt idx="86">
                  <c:v>0.14019999999999999</c:v>
                </c:pt>
                <c:pt idx="87">
                  <c:v>0.1409</c:v>
                </c:pt>
                <c:pt idx="88">
                  <c:v>0.1416</c:v>
                </c:pt>
                <c:pt idx="89">
                  <c:v>0.14230000000000001</c:v>
                </c:pt>
                <c:pt idx="90">
                  <c:v>0.14300000000000002</c:v>
                </c:pt>
                <c:pt idx="91">
                  <c:v>0.14369999999999999</c:v>
                </c:pt>
                <c:pt idx="92">
                  <c:v>0.1444</c:v>
                </c:pt>
                <c:pt idx="93">
                  <c:v>0.14510000000000001</c:v>
                </c:pt>
                <c:pt idx="94">
                  <c:v>0.14580000000000001</c:v>
                </c:pt>
                <c:pt idx="95">
                  <c:v>0.14650000000000002</c:v>
                </c:pt>
                <c:pt idx="96">
                  <c:v>0.1472</c:v>
                </c:pt>
                <c:pt idx="97">
                  <c:v>0.1479</c:v>
                </c:pt>
                <c:pt idx="98">
                  <c:v>0.14859999999999998</c:v>
                </c:pt>
                <c:pt idx="99">
                  <c:v>0.14929999999999999</c:v>
                </c:pt>
                <c:pt idx="100">
                  <c:v>0.15</c:v>
                </c:pt>
              </c:numCache>
            </c:numRef>
          </c:yVal>
          <c:smooth val="1"/>
          <c:extLst>
            <c:ext xmlns:c16="http://schemas.microsoft.com/office/drawing/2014/chart" uri="{C3380CC4-5D6E-409C-BE32-E72D297353CC}">
              <c16:uniqueId val="{00000000-FDF2-48A2-850C-3E9427D19206}"/>
            </c:ext>
          </c:extLst>
        </c:ser>
        <c:ser>
          <c:idx val="1"/>
          <c:order val="1"/>
          <c:tx>
            <c:v>Efficient Frontier</c:v>
          </c:tx>
          <c:spPr>
            <a:ln w="28080">
              <a:solidFill>
                <a:srgbClr val="1F386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'Two-Asset Frontier Calculations'!$J$3:$J$103</c:f>
              <c:numCache>
                <c:formatCode>0.00%</c:formatCode>
                <c:ptCount val="101"/>
                <c:pt idx="0">
                  <c:v>#N/A</c:v>
                </c:pt>
                <c:pt idx="1">
                  <c:v>#N/A</c:v>
                </c:pt>
                <c:pt idx="2">
                  <c:v>#N/A</c:v>
                </c:pt>
                <c:pt idx="3">
                  <c:v>#N/A</c:v>
                </c:pt>
                <c:pt idx="4">
                  <c:v>#N/A</c:v>
                </c:pt>
                <c:pt idx="5">
                  <c:v>#N/A</c:v>
                </c:pt>
                <c:pt idx="6">
                  <c:v>#N/A</c:v>
                </c:pt>
                <c:pt idx="7">
                  <c:v>#N/A</c:v>
                </c:pt>
                <c:pt idx="8">
                  <c:v>#N/A</c:v>
                </c:pt>
                <c:pt idx="9">
                  <c:v>0.11791984565797227</c:v>
                </c:pt>
                <c:pt idx="10">
                  <c:v>0.11793642355099633</c:v>
                </c:pt>
                <c:pt idx="11">
                  <c:v>0.11800292369259331</c:v>
                </c:pt>
                <c:pt idx="12">
                  <c:v>0.11811926176538692</c:v>
                </c:pt>
                <c:pt idx="13">
                  <c:v>0.11828529071697799</c:v>
                </c:pt>
                <c:pt idx="14">
                  <c:v>0.11850080168505191</c:v>
                </c:pt>
                <c:pt idx="15">
                  <c:v>0.11876552530090539</c:v>
                </c:pt>
                <c:pt idx="16">
                  <c:v>0.11907913335257357</c:v>
                </c:pt>
                <c:pt idx="17">
                  <c:v>0.11944124078391015</c:v>
                </c:pt>
                <c:pt idx="18">
                  <c:v>0.1198514080017419</c:v>
                </c:pt>
                <c:pt idx="19">
                  <c:v>0.12030914345967227</c:v>
                </c:pt>
                <c:pt idx="20">
                  <c:v>0.12081390648431166</c:v>
                </c:pt>
                <c:pt idx="21">
                  <c:v>0.12136511030769923</c:v>
                </c:pt>
                <c:pt idx="22">
                  <c:v>0.12196212526846192</c:v>
                </c:pt>
                <c:pt idx="23">
                  <c:v>0.12260428214381421</c:v>
                </c:pt>
                <c:pt idx="24">
                  <c:v>0.1232908755747967</c:v>
                </c:pt>
                <c:pt idx="25">
                  <c:v>0.12402116754812462</c:v>
                </c:pt>
                <c:pt idx="26">
                  <c:v>0.12479439089959131</c:v>
                </c:pt>
                <c:pt idx="27">
                  <c:v>0.12560975280606199</c:v>
                </c:pt>
                <c:pt idx="28">
                  <c:v>0.12646643823560463</c:v>
                </c:pt>
                <c:pt idx="29">
                  <c:v>0.12736361332814014</c:v>
                </c:pt>
                <c:pt idx="30">
                  <c:v>0.12830042868205857</c:v>
                </c:pt>
                <c:pt idx="31">
                  <c:v>0.12927602252544745</c:v>
                </c:pt>
                <c:pt idx="32">
                  <c:v>0.13028952375383063</c:v>
                </c:pt>
                <c:pt idx="33">
                  <c:v>0.13134005481954086</c:v>
                </c:pt>
                <c:pt idx="34">
                  <c:v>0.1324267344609841</c:v>
                </c:pt>
                <c:pt idx="35">
                  <c:v>0.13354868026304115</c:v>
                </c:pt>
                <c:pt idx="36">
                  <c:v>0.13470501104264829</c:v>
                </c:pt>
                <c:pt idx="37">
                  <c:v>0.13589484905617283</c:v>
                </c:pt>
                <c:pt idx="38">
                  <c:v>0.13711732202752502</c:v>
                </c:pt>
                <c:pt idx="39">
                  <c:v>0.13837156499801539</c:v>
                </c:pt>
                <c:pt idx="40">
                  <c:v>0.13965672200076873</c:v>
                </c:pt>
                <c:pt idx="41">
                  <c:v>0.14097194756404552</c:v>
                </c:pt>
                <c:pt idx="42">
                  <c:v>0.14231640804910725</c:v>
                </c:pt>
                <c:pt idx="43">
                  <c:v>0.14368928282930499</c:v>
                </c:pt>
                <c:pt idx="44">
                  <c:v>0.14508976531788864</c:v>
                </c:pt>
                <c:pt idx="45">
                  <c:v>0.14651706385264482</c:v>
                </c:pt>
                <c:pt idx="46">
                  <c:v>0.14797040244589457</c:v>
                </c:pt>
                <c:pt idx="47">
                  <c:v>0.14944902140863955</c:v>
                </c:pt>
                <c:pt idx="48">
                  <c:v>0.1509521778577573</c:v>
                </c:pt>
                <c:pt idx="49">
                  <c:v>0.15247914611513275</c:v>
                </c:pt>
                <c:pt idx="50">
                  <c:v>0.15402921800749364</c:v>
                </c:pt>
                <c:pt idx="51">
                  <c:v>0.15560170307551263</c:v>
                </c:pt>
                <c:pt idx="52">
                  <c:v>0.15719592870045968</c:v>
                </c:pt>
                <c:pt idx="53">
                  <c:v>0.1588112401563567</c:v>
                </c:pt>
                <c:pt idx="54">
                  <c:v>0.16044700059521214</c:v>
                </c:pt>
                <c:pt idx="55">
                  <c:v>0.16210259097250729</c:v>
                </c:pt>
                <c:pt idx="56">
                  <c:v>0.16377740991968337</c:v>
                </c:pt>
                <c:pt idx="57">
                  <c:v>0.16547087356994283</c:v>
                </c:pt>
                <c:pt idx="58">
                  <c:v>0.16718241534324116</c:v>
                </c:pt>
                <c:pt idx="59">
                  <c:v>0.16891148569591116</c:v>
                </c:pt>
                <c:pt idx="60">
                  <c:v>0.1706575518399347</c:v>
                </c:pt>
                <c:pt idx="61">
                  <c:v>0.17242009743646475</c:v>
                </c:pt>
                <c:pt idx="62">
                  <c:v>0.17419862226780095</c:v>
                </c:pt>
                <c:pt idx="63">
                  <c:v>0.17599264189164274</c:v>
                </c:pt>
                <c:pt idx="64">
                  <c:v>0.17780168728108292</c:v>
                </c:pt>
                <c:pt idx="65">
                  <c:v>0.17962530445346503</c:v>
                </c:pt>
                <c:pt idx="66">
                  <c:v>0.18146305409090854</c:v>
                </c:pt>
                <c:pt idx="67">
                  <c:v>0.18331451115500924</c:v>
                </c:pt>
                <c:pt idx="68">
                  <c:v>0.18517926449794536</c:v>
                </c:pt>
                <c:pt idx="69">
                  <c:v>0.18705691647196585</c:v>
                </c:pt>
                <c:pt idx="70">
                  <c:v>0.18894708253900086</c:v>
                </c:pt>
                <c:pt idx="71">
                  <c:v>0.19084939088192029</c:v>
                </c:pt>
                <c:pt idx="72">
                  <c:v>0.19276348201876828</c:v>
                </c:pt>
                <c:pt idx="73">
                  <c:v>0.19468900842112272</c:v>
                </c:pt>
                <c:pt idx="74">
                  <c:v>0.19662563413756609</c:v>
                </c:pt>
                <c:pt idx="75">
                  <c:v>0.19857303442310589</c:v>
                </c:pt>
                <c:pt idx="76">
                  <c:v>0.20053089537525134</c:v>
                </c:pt>
                <c:pt idx="77">
                  <c:v>0.20249891357733255</c:v>
                </c:pt>
                <c:pt idx="78">
                  <c:v>0.2044767957495422</c:v>
                </c:pt>
                <c:pt idx="79">
                  <c:v>0.2064642584080838</c:v>
                </c:pt>
                <c:pt idx="80">
                  <c:v>0.20846102753272613</c:v>
                </c:pt>
                <c:pt idx="81">
                  <c:v>0.21046683824298784</c:v>
                </c:pt>
                <c:pt idx="82">
                  <c:v>0.21248143448310963</c:v>
                </c:pt>
                <c:pt idx="83">
                  <c:v>0.21450456871591339</c:v>
                </c:pt>
                <c:pt idx="84">
                  <c:v>0.21653600162559575</c:v>
                </c:pt>
                <c:pt idx="85">
                  <c:v>0.21857550182945937</c:v>
                </c:pt>
                <c:pt idx="86">
                  <c:v>0.22062284559854631</c:v>
                </c:pt>
                <c:pt idx="87">
                  <c:v>0.22267781658710414</c:v>
                </c:pt>
                <c:pt idx="88">
                  <c:v>0.22474020557078789</c:v>
                </c:pt>
                <c:pt idx="89">
                  <c:v>0.22680981019347465</c:v>
                </c:pt>
                <c:pt idx="90">
                  <c:v>0.22888643472254969</c:v>
                </c:pt>
                <c:pt idx="91">
                  <c:v>0.23096988981250349</c:v>
                </c:pt>
                <c:pt idx="92">
                  <c:v>0.23305999227666682</c:v>
                </c:pt>
                <c:pt idx="93">
                  <c:v>0.23515656486689884</c:v>
                </c:pt>
                <c:pt idx="94">
                  <c:v>0.23725943606103428</c:v>
                </c:pt>
                <c:pt idx="95">
                  <c:v>0.23936843985788939</c:v>
                </c:pt>
                <c:pt idx="96">
                  <c:v>0.24148341557962114</c:v>
                </c:pt>
                <c:pt idx="97">
                  <c:v>0.24360420768123031</c:v>
                </c:pt>
                <c:pt idx="98">
                  <c:v>0.24573066556699835</c:v>
                </c:pt>
                <c:pt idx="99">
                  <c:v>0.24786264341364553</c:v>
                </c:pt>
                <c:pt idx="100">
                  <c:v>0.25</c:v>
                </c:pt>
              </c:numCache>
            </c:numRef>
          </c:xVal>
          <c:yVal>
            <c:numRef>
              <c:f>'Two-Asset Frontier Calculations'!$K$3:$K$103</c:f>
              <c:numCache>
                <c:formatCode>0.00%</c:formatCode>
                <c:ptCount val="101"/>
                <c:pt idx="0">
                  <c:v>#N/A</c:v>
                </c:pt>
                <c:pt idx="1">
                  <c:v>#N/A</c:v>
                </c:pt>
                <c:pt idx="2">
                  <c:v>#N/A</c:v>
                </c:pt>
                <c:pt idx="3">
                  <c:v>#N/A</c:v>
                </c:pt>
                <c:pt idx="4">
                  <c:v>#N/A</c:v>
                </c:pt>
                <c:pt idx="5">
                  <c:v>#N/A</c:v>
                </c:pt>
                <c:pt idx="6">
                  <c:v>#N/A</c:v>
                </c:pt>
                <c:pt idx="7">
                  <c:v>#N/A</c:v>
                </c:pt>
                <c:pt idx="8">
                  <c:v>#N/A</c:v>
                </c:pt>
                <c:pt idx="9">
                  <c:v>8.6300000000000002E-2</c:v>
                </c:pt>
                <c:pt idx="10">
                  <c:v>8.7000000000000008E-2</c:v>
                </c:pt>
                <c:pt idx="11">
                  <c:v>8.77E-2</c:v>
                </c:pt>
                <c:pt idx="12">
                  <c:v>8.8400000000000006E-2</c:v>
                </c:pt>
                <c:pt idx="13">
                  <c:v>8.9099999999999999E-2</c:v>
                </c:pt>
                <c:pt idx="14">
                  <c:v>8.9800000000000005E-2</c:v>
                </c:pt>
                <c:pt idx="15">
                  <c:v>9.0499999999999997E-2</c:v>
                </c:pt>
                <c:pt idx="16">
                  <c:v>9.1200000000000003E-2</c:v>
                </c:pt>
                <c:pt idx="17">
                  <c:v>9.1900000000000009E-2</c:v>
                </c:pt>
                <c:pt idx="18">
                  <c:v>9.2600000000000002E-2</c:v>
                </c:pt>
                <c:pt idx="19">
                  <c:v>9.3300000000000008E-2</c:v>
                </c:pt>
                <c:pt idx="20">
                  <c:v>9.4E-2</c:v>
                </c:pt>
                <c:pt idx="21">
                  <c:v>9.4700000000000006E-2</c:v>
                </c:pt>
                <c:pt idx="22">
                  <c:v>9.5400000000000013E-2</c:v>
                </c:pt>
                <c:pt idx="23">
                  <c:v>9.6100000000000005E-2</c:v>
                </c:pt>
                <c:pt idx="24">
                  <c:v>9.6799999999999997E-2</c:v>
                </c:pt>
                <c:pt idx="25">
                  <c:v>9.7500000000000003E-2</c:v>
                </c:pt>
                <c:pt idx="26">
                  <c:v>9.820000000000001E-2</c:v>
                </c:pt>
                <c:pt idx="27">
                  <c:v>9.8900000000000002E-2</c:v>
                </c:pt>
                <c:pt idx="28">
                  <c:v>9.9599999999999994E-2</c:v>
                </c:pt>
                <c:pt idx="29">
                  <c:v>0.1003</c:v>
                </c:pt>
                <c:pt idx="30">
                  <c:v>0.10099999999999999</c:v>
                </c:pt>
                <c:pt idx="31">
                  <c:v>0.1017</c:v>
                </c:pt>
                <c:pt idx="32">
                  <c:v>0.10239999999999999</c:v>
                </c:pt>
                <c:pt idx="33">
                  <c:v>0.1031</c:v>
                </c:pt>
                <c:pt idx="34">
                  <c:v>0.1038</c:v>
                </c:pt>
                <c:pt idx="35">
                  <c:v>0.1045</c:v>
                </c:pt>
                <c:pt idx="36">
                  <c:v>0.1052</c:v>
                </c:pt>
                <c:pt idx="37">
                  <c:v>0.10589999999999999</c:v>
                </c:pt>
                <c:pt idx="38">
                  <c:v>0.1066</c:v>
                </c:pt>
                <c:pt idx="39">
                  <c:v>0.10730000000000001</c:v>
                </c:pt>
                <c:pt idx="40">
                  <c:v>0.108</c:v>
                </c:pt>
                <c:pt idx="41">
                  <c:v>0.10869999999999999</c:v>
                </c:pt>
                <c:pt idx="42">
                  <c:v>0.1094</c:v>
                </c:pt>
                <c:pt idx="43">
                  <c:v>0.1101</c:v>
                </c:pt>
                <c:pt idx="44">
                  <c:v>0.11080000000000001</c:v>
                </c:pt>
                <c:pt idx="45">
                  <c:v>0.11150000000000002</c:v>
                </c:pt>
                <c:pt idx="46">
                  <c:v>0.11220000000000001</c:v>
                </c:pt>
                <c:pt idx="47">
                  <c:v>0.1129</c:v>
                </c:pt>
                <c:pt idx="48">
                  <c:v>0.11360000000000001</c:v>
                </c:pt>
                <c:pt idx="49">
                  <c:v>0.1143</c:v>
                </c:pt>
                <c:pt idx="50">
                  <c:v>0.11499999999999999</c:v>
                </c:pt>
                <c:pt idx="51">
                  <c:v>0.1157</c:v>
                </c:pt>
                <c:pt idx="52">
                  <c:v>0.1164</c:v>
                </c:pt>
                <c:pt idx="53">
                  <c:v>0.11710000000000001</c:v>
                </c:pt>
                <c:pt idx="54">
                  <c:v>0.1178</c:v>
                </c:pt>
                <c:pt idx="55">
                  <c:v>0.11849999999999999</c:v>
                </c:pt>
                <c:pt idx="56">
                  <c:v>0.1192</c:v>
                </c:pt>
                <c:pt idx="57">
                  <c:v>0.11990000000000001</c:v>
                </c:pt>
                <c:pt idx="58">
                  <c:v>0.1206</c:v>
                </c:pt>
                <c:pt idx="59">
                  <c:v>0.12129999999999999</c:v>
                </c:pt>
                <c:pt idx="60">
                  <c:v>0.122</c:v>
                </c:pt>
                <c:pt idx="61">
                  <c:v>0.1227</c:v>
                </c:pt>
                <c:pt idx="62">
                  <c:v>0.1234</c:v>
                </c:pt>
                <c:pt idx="63">
                  <c:v>0.1241</c:v>
                </c:pt>
                <c:pt idx="64">
                  <c:v>0.12479999999999999</c:v>
                </c:pt>
                <c:pt idx="65">
                  <c:v>0.1255</c:v>
                </c:pt>
                <c:pt idx="66">
                  <c:v>0.12620000000000001</c:v>
                </c:pt>
                <c:pt idx="67">
                  <c:v>0.12690000000000001</c:v>
                </c:pt>
                <c:pt idx="68">
                  <c:v>0.12759999999999999</c:v>
                </c:pt>
                <c:pt idx="69">
                  <c:v>0.1283</c:v>
                </c:pt>
                <c:pt idx="70">
                  <c:v>0.129</c:v>
                </c:pt>
                <c:pt idx="71">
                  <c:v>0.12970000000000001</c:v>
                </c:pt>
                <c:pt idx="72">
                  <c:v>0.13040000000000002</c:v>
                </c:pt>
                <c:pt idx="73">
                  <c:v>0.13109999999999999</c:v>
                </c:pt>
                <c:pt idx="74">
                  <c:v>0.1318</c:v>
                </c:pt>
                <c:pt idx="75">
                  <c:v>0.13249999999999998</c:v>
                </c:pt>
                <c:pt idx="76">
                  <c:v>0.13319999999999999</c:v>
                </c:pt>
                <c:pt idx="77">
                  <c:v>0.13389999999999999</c:v>
                </c:pt>
                <c:pt idx="78">
                  <c:v>0.1346</c:v>
                </c:pt>
                <c:pt idx="79">
                  <c:v>0.1353</c:v>
                </c:pt>
                <c:pt idx="80">
                  <c:v>0.13599999999999998</c:v>
                </c:pt>
                <c:pt idx="81">
                  <c:v>0.13669999999999999</c:v>
                </c:pt>
                <c:pt idx="82">
                  <c:v>0.13739999999999999</c:v>
                </c:pt>
                <c:pt idx="83">
                  <c:v>0.1381</c:v>
                </c:pt>
                <c:pt idx="84">
                  <c:v>0.13880000000000001</c:v>
                </c:pt>
                <c:pt idx="85">
                  <c:v>0.13950000000000001</c:v>
                </c:pt>
                <c:pt idx="86">
                  <c:v>0.14019999999999999</c:v>
                </c:pt>
                <c:pt idx="87">
                  <c:v>0.1409</c:v>
                </c:pt>
                <c:pt idx="88">
                  <c:v>0.1416</c:v>
                </c:pt>
                <c:pt idx="89">
                  <c:v>0.14230000000000001</c:v>
                </c:pt>
                <c:pt idx="90">
                  <c:v>0.14300000000000002</c:v>
                </c:pt>
                <c:pt idx="91">
                  <c:v>0.14369999999999999</c:v>
                </c:pt>
                <c:pt idx="92">
                  <c:v>0.1444</c:v>
                </c:pt>
                <c:pt idx="93">
                  <c:v>0.14510000000000001</c:v>
                </c:pt>
                <c:pt idx="94">
                  <c:v>0.14580000000000001</c:v>
                </c:pt>
                <c:pt idx="95">
                  <c:v>0.14650000000000002</c:v>
                </c:pt>
                <c:pt idx="96">
                  <c:v>0.1472</c:v>
                </c:pt>
                <c:pt idx="97">
                  <c:v>0.1479</c:v>
                </c:pt>
                <c:pt idx="98">
                  <c:v>0.14859999999999998</c:v>
                </c:pt>
                <c:pt idx="99">
                  <c:v>0.14929999999999999</c:v>
                </c:pt>
                <c:pt idx="100">
                  <c:v>0.15</c:v>
                </c:pt>
              </c:numCache>
            </c:numRef>
          </c:yVal>
          <c:smooth val="1"/>
          <c:extLst>
            <c:ext xmlns:c16="http://schemas.microsoft.com/office/drawing/2014/chart" uri="{C3380CC4-5D6E-409C-BE32-E72D297353CC}">
              <c16:uniqueId val="{00000001-FDF2-48A2-850C-3E9427D19206}"/>
            </c:ext>
          </c:extLst>
        </c:ser>
        <c:ser>
          <c:idx val="2"/>
          <c:order val="2"/>
          <c:tx>
            <c:v>Minimum Variance Portfolio</c:v>
          </c:tx>
          <c:spPr>
            <a:ln w="28440">
              <a:solidFill>
                <a:srgbClr val="FF0000"/>
              </a:solidFill>
              <a:round/>
            </a:ln>
          </c:spPr>
          <c:marker>
            <c:symbol val="diamond"/>
            <c:size val="10"/>
            <c:spPr>
              <a:solidFill>
                <a:srgbClr val="FF0000"/>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'Two-Asset Frontier Calculations'!$Q$108</c:f>
              <c:numCache>
                <c:formatCode>0.00%</c:formatCode>
                <c:ptCount val="1"/>
                <c:pt idx="0">
                  <c:v>0.11791984565797227</c:v>
                </c:pt>
              </c:numCache>
            </c:numRef>
          </c:xVal>
          <c:yVal>
            <c:numRef>
              <c:f>'Two-Asset Frontier Calculations'!$R$108</c:f>
              <c:numCache>
                <c:formatCode>0.00%</c:formatCode>
                <c:ptCount val="1"/>
                <c:pt idx="0">
                  <c:v>8.6300000000000002E-2</c:v>
                </c:pt>
              </c:numCache>
            </c:numRef>
          </c:yVal>
          <c:smooth val="1"/>
          <c:extLst>
            <c:ext xmlns:c16="http://schemas.microsoft.com/office/drawing/2014/chart" uri="{C3380CC4-5D6E-409C-BE32-E72D297353CC}">
              <c16:uniqueId val="{00000002-FDF2-48A2-850C-3E9427D19206}"/>
            </c:ext>
          </c:extLst>
        </c:ser>
        <c:ser>
          <c:idx val="3"/>
          <c:order val="3"/>
          <c:tx>
            <c:v>Asset A (Equity)</c:v>
          </c:tx>
          <c:spPr>
            <a:ln w="28440">
              <a:solidFill>
                <a:srgbClr val="70AD47"/>
              </a:solidFill>
              <a:round/>
            </a:ln>
          </c:spPr>
          <c:marker>
            <c:symbol val="circle"/>
            <c:size val="9"/>
            <c:spPr>
              <a:solidFill>
                <a:srgbClr val="70AD47"/>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'Two-Asset Frontier Calculations'!$Q$106</c:f>
              <c:numCache>
                <c:formatCode>0.00%</c:formatCode>
                <c:ptCount val="1"/>
                <c:pt idx="0">
                  <c:v>0.25</c:v>
                </c:pt>
              </c:numCache>
            </c:numRef>
          </c:xVal>
          <c:yVal>
            <c:numRef>
              <c:f>'Two-Asset Frontier Calculations'!$R$106</c:f>
              <c:numCache>
                <c:formatCode>0.00%</c:formatCode>
                <c:ptCount val="1"/>
                <c:pt idx="0">
                  <c:v>0.15</c:v>
                </c:pt>
              </c:numCache>
            </c:numRef>
          </c:yVal>
          <c:smooth val="1"/>
          <c:extLst>
            <c:ext xmlns:c16="http://schemas.microsoft.com/office/drawing/2014/chart" uri="{C3380CC4-5D6E-409C-BE32-E72D297353CC}">
              <c16:uniqueId val="{00000003-FDF2-48A2-850C-3E9427D19206}"/>
            </c:ext>
          </c:extLst>
        </c:ser>
        <c:ser>
          <c:idx val="4"/>
          <c:order val="4"/>
          <c:tx>
            <c:v>Asset B (Bond)</c:v>
          </c:tx>
          <c:spPr>
            <a:ln w="28440">
              <a:solidFill>
                <a:srgbClr val="ED7D31"/>
              </a:solidFill>
              <a:round/>
            </a:ln>
          </c:spPr>
          <c:marker>
            <c:symbol val="square"/>
            <c:size val="9"/>
            <c:spPr>
              <a:solidFill>
                <a:srgbClr val="ED7D31"/>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'Two-Asset Frontier Calculations'!$Q$107</c:f>
              <c:numCache>
                <c:formatCode>0.00%</c:formatCode>
                <c:ptCount val="1"/>
                <c:pt idx="0">
                  <c:v>0.12</c:v>
                </c:pt>
              </c:numCache>
            </c:numRef>
          </c:xVal>
          <c:yVal>
            <c:numRef>
              <c:f>'Two-Asset Frontier Calculations'!$R$107</c:f>
              <c:numCache>
                <c:formatCode>0.00%</c:formatCode>
                <c:ptCount val="1"/>
                <c:pt idx="0">
                  <c:v>0.08</c:v>
                </c:pt>
              </c:numCache>
            </c:numRef>
          </c:yVal>
          <c:smooth val="1"/>
          <c:extLst>
            <c:ext xmlns:c16="http://schemas.microsoft.com/office/drawing/2014/chart" uri="{C3380CC4-5D6E-409C-BE32-E72D297353CC}">
              <c16:uniqueId val="{00000004-FDF2-48A2-850C-3E9427D19206}"/>
            </c:ext>
          </c:extLst>
        </c:ser>
        <c:dLbls>
          <c:showLegendKey val="0"/>
          <c:showVal val="0"/>
          <c:showCatName val="0"/>
          <c:showSerName val="0"/>
          <c:showPercent val="0"/>
          <c:showBubbleSize val="0"/>
        </c:dLbls>
        <c:axId val="3088123"/>
        <c:axId val="78803460"/>
      </c:scatterChart>
      <c:valAx>
        <c:axId val="3088123"/>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Portfolio Standard Deviation (</a:t>
                </a:r>
                <a:r>
                  <a:rPr lang="el-GR" sz="1000" b="1" strike="noStrike" spc="-1">
                    <a:solidFill>
                      <a:srgbClr val="000000"/>
                    </a:solidFill>
                    <a:latin typeface="Calibri"/>
                  </a:rPr>
                  <a:t>σ</a:t>
                </a:r>
                <a:r>
                  <a:rPr lang="en-IN" sz="1000" b="1" strike="noStrike" spc="-1">
                    <a:solidFill>
                      <a:srgbClr val="000000"/>
                    </a:solidFill>
                    <a:latin typeface="Calibri"/>
                  </a:rPr>
                  <a:t>p)</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8803460"/>
        <c:crosses val="autoZero"/>
        <c:crossBetween val="midCat"/>
      </c:valAx>
      <c:valAx>
        <c:axId val="7880346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Expected Portfolio Return  E(Rp)</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088123"/>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How Correlation Shapes the Opportunity Set</a:t>
            </a:r>
          </a:p>
        </c:rich>
      </c:tx>
      <c:overlay val="0"/>
      <c:spPr>
        <a:noFill/>
        <a:ln w="0">
          <a:noFill/>
        </a:ln>
      </c:spPr>
    </c:title>
    <c:autoTitleDeleted val="0"/>
    <c:plotArea>
      <c:layout/>
      <c:scatterChart>
        <c:scatterStyle val="lineMarker"/>
        <c:varyColors val="0"/>
        <c:ser>
          <c:idx val="0"/>
          <c:order val="0"/>
          <c:tx>
            <c:v>ρ = +1.00  (No Diversification – Straight Line)</c:v>
          </c:tx>
          <c:spPr>
            <a:ln w="20160">
              <a:solidFill>
                <a:srgbClr val="C0000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'Correlation Demonstration'!$E$3:$E$103</c:f>
              <c:numCache>
                <c:formatCode>0.00%</c:formatCode>
                <c:ptCount val="101"/>
                <c:pt idx="0">
                  <c:v>0.12</c:v>
                </c:pt>
                <c:pt idx="1">
                  <c:v>0.12130000000000001</c:v>
                </c:pt>
                <c:pt idx="2">
                  <c:v>0.1226</c:v>
                </c:pt>
                <c:pt idx="3">
                  <c:v>0.1239</c:v>
                </c:pt>
                <c:pt idx="4">
                  <c:v>0.12519999999999998</c:v>
                </c:pt>
                <c:pt idx="5">
                  <c:v>0.1265</c:v>
                </c:pt>
                <c:pt idx="6">
                  <c:v>0.1278</c:v>
                </c:pt>
                <c:pt idx="7">
                  <c:v>0.12909999999999999</c:v>
                </c:pt>
                <c:pt idx="8">
                  <c:v>0.13039999999999999</c:v>
                </c:pt>
                <c:pt idx="9">
                  <c:v>0.13170000000000001</c:v>
                </c:pt>
                <c:pt idx="10">
                  <c:v>0.13300000000000001</c:v>
                </c:pt>
                <c:pt idx="11">
                  <c:v>0.1343</c:v>
                </c:pt>
                <c:pt idx="12">
                  <c:v>0.1356</c:v>
                </c:pt>
                <c:pt idx="13">
                  <c:v>0.13689999999999999</c:v>
                </c:pt>
                <c:pt idx="14">
                  <c:v>0.13819999999999999</c:v>
                </c:pt>
                <c:pt idx="15">
                  <c:v>0.13949999999999999</c:v>
                </c:pt>
                <c:pt idx="16">
                  <c:v>0.14079999999999998</c:v>
                </c:pt>
                <c:pt idx="17">
                  <c:v>0.1421</c:v>
                </c:pt>
                <c:pt idx="18">
                  <c:v>0.1434</c:v>
                </c:pt>
                <c:pt idx="19">
                  <c:v>0.1447</c:v>
                </c:pt>
                <c:pt idx="20">
                  <c:v>0.14600000000000002</c:v>
                </c:pt>
                <c:pt idx="21">
                  <c:v>0.14730000000000001</c:v>
                </c:pt>
                <c:pt idx="22">
                  <c:v>0.14859999999999998</c:v>
                </c:pt>
                <c:pt idx="23">
                  <c:v>0.14990000000000001</c:v>
                </c:pt>
                <c:pt idx="24">
                  <c:v>0.1512</c:v>
                </c:pt>
                <c:pt idx="25">
                  <c:v>0.1525</c:v>
                </c:pt>
                <c:pt idx="26">
                  <c:v>0.15379999999999999</c:v>
                </c:pt>
                <c:pt idx="27">
                  <c:v>0.15509999999999999</c:v>
                </c:pt>
                <c:pt idx="28">
                  <c:v>0.15640000000000001</c:v>
                </c:pt>
                <c:pt idx="29">
                  <c:v>0.15769999999999998</c:v>
                </c:pt>
                <c:pt idx="30">
                  <c:v>0.159</c:v>
                </c:pt>
                <c:pt idx="31">
                  <c:v>0.1603</c:v>
                </c:pt>
                <c:pt idx="32">
                  <c:v>0.16159999999999999</c:v>
                </c:pt>
                <c:pt idx="33">
                  <c:v>0.16289999999999999</c:v>
                </c:pt>
                <c:pt idx="34">
                  <c:v>0.16419999999999998</c:v>
                </c:pt>
                <c:pt idx="35">
                  <c:v>0.16549999999999998</c:v>
                </c:pt>
                <c:pt idx="36">
                  <c:v>0.1668</c:v>
                </c:pt>
                <c:pt idx="37">
                  <c:v>0.1681</c:v>
                </c:pt>
                <c:pt idx="38">
                  <c:v>0.1694</c:v>
                </c:pt>
                <c:pt idx="39">
                  <c:v>0.17070000000000002</c:v>
                </c:pt>
                <c:pt idx="40">
                  <c:v>0.17199999999999999</c:v>
                </c:pt>
                <c:pt idx="41">
                  <c:v>0.17330000000000001</c:v>
                </c:pt>
                <c:pt idx="42">
                  <c:v>0.17460000000000001</c:v>
                </c:pt>
                <c:pt idx="43">
                  <c:v>0.1759</c:v>
                </c:pt>
                <c:pt idx="44">
                  <c:v>0.1772</c:v>
                </c:pt>
                <c:pt idx="45">
                  <c:v>0.17849999999999999</c:v>
                </c:pt>
                <c:pt idx="46">
                  <c:v>0.17980000000000002</c:v>
                </c:pt>
                <c:pt idx="47">
                  <c:v>0.18110000000000001</c:v>
                </c:pt>
                <c:pt idx="48">
                  <c:v>0.18239999999999998</c:v>
                </c:pt>
                <c:pt idx="49">
                  <c:v>0.18369999999999997</c:v>
                </c:pt>
                <c:pt idx="50">
                  <c:v>0.185</c:v>
                </c:pt>
                <c:pt idx="51">
                  <c:v>0.18629999999999999</c:v>
                </c:pt>
                <c:pt idx="52">
                  <c:v>0.18759999999999999</c:v>
                </c:pt>
                <c:pt idx="53">
                  <c:v>0.18890000000000001</c:v>
                </c:pt>
                <c:pt idx="54">
                  <c:v>0.19020000000000001</c:v>
                </c:pt>
                <c:pt idx="55">
                  <c:v>0.1915</c:v>
                </c:pt>
                <c:pt idx="56">
                  <c:v>0.1928</c:v>
                </c:pt>
                <c:pt idx="57">
                  <c:v>0.19409999999999999</c:v>
                </c:pt>
                <c:pt idx="58">
                  <c:v>0.19539999999999999</c:v>
                </c:pt>
                <c:pt idx="59">
                  <c:v>0.19669999999999999</c:v>
                </c:pt>
                <c:pt idx="60">
                  <c:v>0.19800000000000001</c:v>
                </c:pt>
                <c:pt idx="61">
                  <c:v>0.1993</c:v>
                </c:pt>
                <c:pt idx="62">
                  <c:v>0.2006</c:v>
                </c:pt>
                <c:pt idx="63">
                  <c:v>0.2019</c:v>
                </c:pt>
                <c:pt idx="64">
                  <c:v>0.20320000000000002</c:v>
                </c:pt>
                <c:pt idx="65">
                  <c:v>0.20450000000000002</c:v>
                </c:pt>
                <c:pt idx="66">
                  <c:v>0.20579999999999998</c:v>
                </c:pt>
                <c:pt idx="67">
                  <c:v>0.20710000000000001</c:v>
                </c:pt>
                <c:pt idx="68">
                  <c:v>0.20840000000000003</c:v>
                </c:pt>
                <c:pt idx="69">
                  <c:v>0.20970000000000003</c:v>
                </c:pt>
                <c:pt idx="70">
                  <c:v>0.21100000000000002</c:v>
                </c:pt>
                <c:pt idx="71">
                  <c:v>0.21229999999999999</c:v>
                </c:pt>
                <c:pt idx="72">
                  <c:v>0.21359999999999998</c:v>
                </c:pt>
                <c:pt idx="73">
                  <c:v>0.21489999999999998</c:v>
                </c:pt>
                <c:pt idx="74">
                  <c:v>0.2162</c:v>
                </c:pt>
                <c:pt idx="75">
                  <c:v>0.2175</c:v>
                </c:pt>
                <c:pt idx="76">
                  <c:v>0.21879999999999999</c:v>
                </c:pt>
                <c:pt idx="77">
                  <c:v>0.22009999999999999</c:v>
                </c:pt>
                <c:pt idx="78">
                  <c:v>0.22139999999999999</c:v>
                </c:pt>
                <c:pt idx="79">
                  <c:v>0.22270000000000001</c:v>
                </c:pt>
                <c:pt idx="80">
                  <c:v>0.224</c:v>
                </c:pt>
                <c:pt idx="81">
                  <c:v>0.22530000000000003</c:v>
                </c:pt>
                <c:pt idx="82">
                  <c:v>0.2266</c:v>
                </c:pt>
                <c:pt idx="83">
                  <c:v>0.22789999999999999</c:v>
                </c:pt>
                <c:pt idx="84">
                  <c:v>0.22919999999999999</c:v>
                </c:pt>
                <c:pt idx="85">
                  <c:v>0.23049999999999998</c:v>
                </c:pt>
                <c:pt idx="86">
                  <c:v>0.23180000000000001</c:v>
                </c:pt>
                <c:pt idx="87">
                  <c:v>0.2331</c:v>
                </c:pt>
                <c:pt idx="88">
                  <c:v>0.2344</c:v>
                </c:pt>
                <c:pt idx="89">
                  <c:v>0.23569999999999999</c:v>
                </c:pt>
                <c:pt idx="90">
                  <c:v>0.23699999999999999</c:v>
                </c:pt>
                <c:pt idx="91">
                  <c:v>0.23830000000000001</c:v>
                </c:pt>
                <c:pt idx="92">
                  <c:v>0.23960000000000001</c:v>
                </c:pt>
                <c:pt idx="93">
                  <c:v>0.2409</c:v>
                </c:pt>
                <c:pt idx="94">
                  <c:v>0.2422</c:v>
                </c:pt>
                <c:pt idx="95">
                  <c:v>0.24350000000000002</c:v>
                </c:pt>
                <c:pt idx="96">
                  <c:v>0.24479999999999999</c:v>
                </c:pt>
                <c:pt idx="97">
                  <c:v>0.24610000000000001</c:v>
                </c:pt>
                <c:pt idx="98">
                  <c:v>0.24740000000000001</c:v>
                </c:pt>
                <c:pt idx="99">
                  <c:v>0.24869999999999998</c:v>
                </c:pt>
                <c:pt idx="100">
                  <c:v>0.25</c:v>
                </c:pt>
              </c:numCache>
            </c:numRef>
          </c:xVal>
          <c:yVal>
            <c:numRef>
              <c:f>'Correlation Demonstration'!$D$3:$D$103</c:f>
              <c:numCache>
                <c:formatCode>0.00%</c:formatCode>
                <c:ptCount val="101"/>
                <c:pt idx="0">
                  <c:v>0.08</c:v>
                </c:pt>
                <c:pt idx="1">
                  <c:v>8.0700000000000008E-2</c:v>
                </c:pt>
                <c:pt idx="2">
                  <c:v>8.14E-2</c:v>
                </c:pt>
                <c:pt idx="3">
                  <c:v>8.2100000000000006E-2</c:v>
                </c:pt>
                <c:pt idx="4">
                  <c:v>8.2799999999999999E-2</c:v>
                </c:pt>
                <c:pt idx="5">
                  <c:v>8.3499999999999991E-2</c:v>
                </c:pt>
                <c:pt idx="6">
                  <c:v>8.4199999999999997E-2</c:v>
                </c:pt>
                <c:pt idx="7">
                  <c:v>8.4899999999999989E-2</c:v>
                </c:pt>
                <c:pt idx="8">
                  <c:v>8.5599999999999996E-2</c:v>
                </c:pt>
                <c:pt idx="9">
                  <c:v>8.6300000000000002E-2</c:v>
                </c:pt>
                <c:pt idx="10">
                  <c:v>8.7000000000000008E-2</c:v>
                </c:pt>
                <c:pt idx="11">
                  <c:v>8.77E-2</c:v>
                </c:pt>
                <c:pt idx="12">
                  <c:v>8.8400000000000006E-2</c:v>
                </c:pt>
                <c:pt idx="13">
                  <c:v>8.9099999999999999E-2</c:v>
                </c:pt>
                <c:pt idx="14">
                  <c:v>8.9800000000000005E-2</c:v>
                </c:pt>
                <c:pt idx="15">
                  <c:v>9.0499999999999997E-2</c:v>
                </c:pt>
                <c:pt idx="16">
                  <c:v>9.1200000000000003E-2</c:v>
                </c:pt>
                <c:pt idx="17">
                  <c:v>9.1900000000000009E-2</c:v>
                </c:pt>
                <c:pt idx="18">
                  <c:v>9.2600000000000002E-2</c:v>
                </c:pt>
                <c:pt idx="19">
                  <c:v>9.3300000000000008E-2</c:v>
                </c:pt>
                <c:pt idx="20">
                  <c:v>9.4E-2</c:v>
                </c:pt>
                <c:pt idx="21">
                  <c:v>9.4700000000000006E-2</c:v>
                </c:pt>
                <c:pt idx="22">
                  <c:v>9.5400000000000013E-2</c:v>
                </c:pt>
                <c:pt idx="23">
                  <c:v>9.6100000000000005E-2</c:v>
                </c:pt>
                <c:pt idx="24">
                  <c:v>9.6799999999999997E-2</c:v>
                </c:pt>
                <c:pt idx="25">
                  <c:v>9.7500000000000003E-2</c:v>
                </c:pt>
                <c:pt idx="26">
                  <c:v>9.820000000000001E-2</c:v>
                </c:pt>
                <c:pt idx="27">
                  <c:v>9.8900000000000002E-2</c:v>
                </c:pt>
                <c:pt idx="28">
                  <c:v>9.9599999999999994E-2</c:v>
                </c:pt>
                <c:pt idx="29">
                  <c:v>0.1003</c:v>
                </c:pt>
                <c:pt idx="30">
                  <c:v>0.10099999999999999</c:v>
                </c:pt>
                <c:pt idx="31">
                  <c:v>0.1017</c:v>
                </c:pt>
                <c:pt idx="32">
                  <c:v>0.10239999999999999</c:v>
                </c:pt>
                <c:pt idx="33">
                  <c:v>0.1031</c:v>
                </c:pt>
                <c:pt idx="34">
                  <c:v>0.1038</c:v>
                </c:pt>
                <c:pt idx="35">
                  <c:v>0.1045</c:v>
                </c:pt>
                <c:pt idx="36">
                  <c:v>0.1052</c:v>
                </c:pt>
                <c:pt idx="37">
                  <c:v>0.10589999999999999</c:v>
                </c:pt>
                <c:pt idx="38">
                  <c:v>0.1066</c:v>
                </c:pt>
                <c:pt idx="39">
                  <c:v>0.10730000000000001</c:v>
                </c:pt>
                <c:pt idx="40">
                  <c:v>0.108</c:v>
                </c:pt>
                <c:pt idx="41">
                  <c:v>0.10869999999999999</c:v>
                </c:pt>
                <c:pt idx="42">
                  <c:v>0.1094</c:v>
                </c:pt>
                <c:pt idx="43">
                  <c:v>0.1101</c:v>
                </c:pt>
                <c:pt idx="44">
                  <c:v>0.11080000000000001</c:v>
                </c:pt>
                <c:pt idx="45">
                  <c:v>0.11150000000000002</c:v>
                </c:pt>
                <c:pt idx="46">
                  <c:v>0.11220000000000001</c:v>
                </c:pt>
                <c:pt idx="47">
                  <c:v>0.1129</c:v>
                </c:pt>
                <c:pt idx="48">
                  <c:v>0.11360000000000001</c:v>
                </c:pt>
                <c:pt idx="49">
                  <c:v>0.1143</c:v>
                </c:pt>
                <c:pt idx="50">
                  <c:v>0.11499999999999999</c:v>
                </c:pt>
                <c:pt idx="51">
                  <c:v>0.1157</c:v>
                </c:pt>
                <c:pt idx="52">
                  <c:v>0.1164</c:v>
                </c:pt>
                <c:pt idx="53">
                  <c:v>0.11710000000000001</c:v>
                </c:pt>
                <c:pt idx="54">
                  <c:v>0.1178</c:v>
                </c:pt>
                <c:pt idx="55">
                  <c:v>0.11849999999999999</c:v>
                </c:pt>
                <c:pt idx="56">
                  <c:v>0.1192</c:v>
                </c:pt>
                <c:pt idx="57">
                  <c:v>0.11990000000000001</c:v>
                </c:pt>
                <c:pt idx="58">
                  <c:v>0.1206</c:v>
                </c:pt>
                <c:pt idx="59">
                  <c:v>0.12129999999999999</c:v>
                </c:pt>
                <c:pt idx="60">
                  <c:v>0.122</c:v>
                </c:pt>
                <c:pt idx="61">
                  <c:v>0.1227</c:v>
                </c:pt>
                <c:pt idx="62">
                  <c:v>0.1234</c:v>
                </c:pt>
                <c:pt idx="63">
                  <c:v>0.1241</c:v>
                </c:pt>
                <c:pt idx="64">
                  <c:v>0.12479999999999999</c:v>
                </c:pt>
                <c:pt idx="65">
                  <c:v>0.1255</c:v>
                </c:pt>
                <c:pt idx="66">
                  <c:v>0.12620000000000001</c:v>
                </c:pt>
                <c:pt idx="67">
                  <c:v>0.12690000000000001</c:v>
                </c:pt>
                <c:pt idx="68">
                  <c:v>0.12759999999999999</c:v>
                </c:pt>
                <c:pt idx="69">
                  <c:v>0.1283</c:v>
                </c:pt>
                <c:pt idx="70">
                  <c:v>0.129</c:v>
                </c:pt>
                <c:pt idx="71">
                  <c:v>0.12970000000000001</c:v>
                </c:pt>
                <c:pt idx="72">
                  <c:v>0.13040000000000002</c:v>
                </c:pt>
                <c:pt idx="73">
                  <c:v>0.13109999999999999</c:v>
                </c:pt>
                <c:pt idx="74">
                  <c:v>0.1318</c:v>
                </c:pt>
                <c:pt idx="75">
                  <c:v>0.13249999999999998</c:v>
                </c:pt>
                <c:pt idx="76">
                  <c:v>0.13319999999999999</c:v>
                </c:pt>
                <c:pt idx="77">
                  <c:v>0.13389999999999999</c:v>
                </c:pt>
                <c:pt idx="78">
                  <c:v>0.1346</c:v>
                </c:pt>
                <c:pt idx="79">
                  <c:v>0.1353</c:v>
                </c:pt>
                <c:pt idx="80">
                  <c:v>0.13599999999999998</c:v>
                </c:pt>
                <c:pt idx="81">
                  <c:v>0.13669999999999999</c:v>
                </c:pt>
                <c:pt idx="82">
                  <c:v>0.13739999999999999</c:v>
                </c:pt>
                <c:pt idx="83">
                  <c:v>0.1381</c:v>
                </c:pt>
                <c:pt idx="84">
                  <c:v>0.13880000000000001</c:v>
                </c:pt>
                <c:pt idx="85">
                  <c:v>0.13950000000000001</c:v>
                </c:pt>
                <c:pt idx="86">
                  <c:v>0.14019999999999999</c:v>
                </c:pt>
                <c:pt idx="87">
                  <c:v>0.1409</c:v>
                </c:pt>
                <c:pt idx="88">
                  <c:v>0.1416</c:v>
                </c:pt>
                <c:pt idx="89">
                  <c:v>0.14230000000000001</c:v>
                </c:pt>
                <c:pt idx="90">
                  <c:v>0.14300000000000002</c:v>
                </c:pt>
                <c:pt idx="91">
                  <c:v>0.14369999999999999</c:v>
                </c:pt>
                <c:pt idx="92">
                  <c:v>0.1444</c:v>
                </c:pt>
                <c:pt idx="93">
                  <c:v>0.14510000000000001</c:v>
                </c:pt>
                <c:pt idx="94">
                  <c:v>0.14580000000000001</c:v>
                </c:pt>
                <c:pt idx="95">
                  <c:v>0.14650000000000002</c:v>
                </c:pt>
                <c:pt idx="96">
                  <c:v>0.1472</c:v>
                </c:pt>
                <c:pt idx="97">
                  <c:v>0.1479</c:v>
                </c:pt>
                <c:pt idx="98">
                  <c:v>0.14859999999999998</c:v>
                </c:pt>
                <c:pt idx="99">
                  <c:v>0.14929999999999999</c:v>
                </c:pt>
                <c:pt idx="100">
                  <c:v>0.15</c:v>
                </c:pt>
              </c:numCache>
            </c:numRef>
          </c:yVal>
          <c:smooth val="1"/>
          <c:extLst>
            <c:ext xmlns:c16="http://schemas.microsoft.com/office/drawing/2014/chart" uri="{C3380CC4-5D6E-409C-BE32-E72D297353CC}">
              <c16:uniqueId val="{00000000-FE01-475E-86B3-FC00A0D7E240}"/>
            </c:ext>
          </c:extLst>
        </c:ser>
        <c:ser>
          <c:idx val="1"/>
          <c:order val="1"/>
          <c:tx>
            <c:v>ρ = +0.50  (Partial Diversification)</c:v>
          </c:tx>
          <c:spPr>
            <a:ln w="20160">
              <a:solidFill>
                <a:srgbClr val="ED7D31"/>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'Correlation Demonstration'!$F$3:$F$103</c:f>
              <c:numCache>
                <c:formatCode>0.00%</c:formatCode>
                <c:ptCount val="101"/>
                <c:pt idx="0">
                  <c:v>0.12</c:v>
                </c:pt>
                <c:pt idx="1">
                  <c:v>0.12006952152815467</c:v>
                </c:pt>
                <c:pt idx="2">
                  <c:v>0.12017803459867364</c:v>
                </c:pt>
                <c:pt idx="3">
                  <c:v>0.12032543372039013</c:v>
                </c:pt>
                <c:pt idx="4">
                  <c:v>0.12051157620743327</c:v>
                </c:pt>
                <c:pt idx="5">
                  <c:v>0.12073628286476273</c:v>
                </c:pt>
                <c:pt idx="6">
                  <c:v>0.12099933884116887</c:v>
                </c:pt>
                <c:pt idx="7">
                  <c:v>0.12130049464037646</c:v>
                </c:pt>
                <c:pt idx="8">
                  <c:v>0.12163946727933331</c:v>
                </c:pt>
                <c:pt idx="9">
                  <c:v>0.12201594158141796</c:v>
                </c:pt>
                <c:pt idx="10">
                  <c:v>0.12242957159118055</c:v>
                </c:pt>
                <c:pt idx="11">
                  <c:v>0.12287998209635287</c:v>
                </c:pt>
                <c:pt idx="12">
                  <c:v>0.12336677024223337</c:v>
                </c:pt>
                <c:pt idx="13">
                  <c:v>0.12388950722317044</c:v>
                </c:pt>
                <c:pt idx="14">
                  <c:v>0.12444774003572745</c:v>
                </c:pt>
                <c:pt idx="15">
                  <c:v>0.12504099327820456</c:v>
                </c:pt>
                <c:pt idx="16">
                  <c:v>0.12566877098149723</c:v>
                </c:pt>
                <c:pt idx="17">
                  <c:v>0.12633055845677243</c:v>
                </c:pt>
                <c:pt idx="18">
                  <c:v>0.12702582414611607</c:v>
                </c:pt>
                <c:pt idx="19">
                  <c:v>0.12775402146312265</c:v>
                </c:pt>
                <c:pt idx="20">
                  <c:v>0.12851459061133877</c:v>
                </c:pt>
                <c:pt idx="21">
                  <c:v>0.12930696036950215</c:v>
                </c:pt>
                <c:pt idx="22">
                  <c:v>0.13013054983361899</c:v>
                </c:pt>
                <c:pt idx="23">
                  <c:v>0.13098477010706244</c:v>
                </c:pt>
                <c:pt idx="24">
                  <c:v>0.13186902593103508</c:v>
                </c:pt>
                <c:pt idx="25">
                  <c:v>0.13278271724889501</c:v>
                </c:pt>
                <c:pt idx="26">
                  <c:v>0.13372524069897948</c:v>
                </c:pt>
                <c:pt idx="27">
                  <c:v>0.13469599103165616</c:v>
                </c:pt>
                <c:pt idx="28">
                  <c:v>0.13569436244737657</c:v>
                </c:pt>
                <c:pt idx="29">
                  <c:v>0.13671974985348678</c:v>
                </c:pt>
                <c:pt idx="30">
                  <c:v>0.13777155003846039</c:v>
                </c:pt>
                <c:pt idx="31">
                  <c:v>0.13884916276305018</c:v>
                </c:pt>
                <c:pt idx="32">
                  <c:v>0.13995199176860612</c:v>
                </c:pt>
                <c:pt idx="33">
                  <c:v>0.14107944570347589</c:v>
                </c:pt>
                <c:pt idx="34">
                  <c:v>0.14223093896898803</c:v>
                </c:pt>
                <c:pt idx="35">
                  <c:v>0.1434058924870244</c:v>
                </c:pt>
                <c:pt idx="36">
                  <c:v>0.14460373439161242</c:v>
                </c:pt>
                <c:pt idx="37">
                  <c:v>0.14582390064732187</c:v>
                </c:pt>
                <c:pt idx="38">
                  <c:v>0.14706583559753095</c:v>
                </c:pt>
                <c:pt idx="39">
                  <c:v>0.14832899244584655</c:v>
                </c:pt>
                <c:pt idx="40">
                  <c:v>0.14961283367412034</c:v>
                </c:pt>
                <c:pt idx="41">
                  <c:v>0.15091683140060952</c:v>
                </c:pt>
                <c:pt idx="42">
                  <c:v>0.15224046768188806</c:v>
                </c:pt>
                <c:pt idx="43">
                  <c:v>0.15358323476213151</c:v>
                </c:pt>
                <c:pt idx="44">
                  <c:v>0.15494463527337757</c:v>
                </c:pt>
                <c:pt idx="45">
                  <c:v>0.15632418239031351</c:v>
                </c:pt>
                <c:pt idx="46">
                  <c:v>0.15772139994306417</c:v>
                </c:pt>
                <c:pt idx="47">
                  <c:v>0.15913582249135486</c:v>
                </c:pt>
                <c:pt idx="48">
                  <c:v>0.16056699536330621</c:v>
                </c:pt>
                <c:pt idx="49">
                  <c:v>0.16201447466198815</c:v>
                </c:pt>
                <c:pt idx="50">
                  <c:v>0.16347782724271814</c:v>
                </c:pt>
                <c:pt idx="51">
                  <c:v>0.16495663066394148</c:v>
                </c:pt>
                <c:pt idx="52">
                  <c:v>0.16645047311437719</c:v>
                </c:pt>
                <c:pt idx="53">
                  <c:v>0.16795895331895827</c:v>
                </c:pt>
                <c:pt idx="54">
                  <c:v>0.16948168042593867</c:v>
                </c:pt>
                <c:pt idx="55">
                  <c:v>0.17101827387738425</c:v>
                </c:pt>
                <c:pt idx="56">
                  <c:v>0.17256836326511299</c:v>
                </c:pt>
                <c:pt idx="57">
                  <c:v>0.17413158817400134</c:v>
                </c:pt>
                <c:pt idx="58">
                  <c:v>0.17570759801442851</c:v>
                </c:pt>
                <c:pt idx="59">
                  <c:v>0.17729605184549371</c:v>
                </c:pt>
                <c:pt idx="60">
                  <c:v>0.1788966181905069</c:v>
                </c:pt>
                <c:pt idx="61">
                  <c:v>0.1805089748461278</c:v>
                </c:pt>
                <c:pt idx="62">
                  <c:v>0.18213280868640883</c:v>
                </c:pt>
                <c:pt idx="63">
                  <c:v>0.1837678154628824</c:v>
                </c:pt>
                <c:pt idx="64">
                  <c:v>0.18541369960172846</c:v>
                </c:pt>
                <c:pt idx="65">
                  <c:v>0.18707017399895687</c:v>
                </c:pt>
                <c:pt idx="66">
                  <c:v>0.18873695981444652</c:v>
                </c:pt>
                <c:pt idx="67">
                  <c:v>0.1904137862655958</c:v>
                </c:pt>
                <c:pt idx="68">
                  <c:v>0.19210039042125865</c:v>
                </c:pt>
                <c:pt idx="69">
                  <c:v>0.19379651699656525</c:v>
                </c:pt>
                <c:pt idx="70">
                  <c:v>0.19550191814915782</c:v>
                </c:pt>
                <c:pt idx="71">
                  <c:v>0.19721635327730813</c:v>
                </c:pt>
                <c:pt idx="72">
                  <c:v>0.19893958882032503</c:v>
                </c:pt>
                <c:pt idx="73">
                  <c:v>0.20067139806160716</c:v>
                </c:pt>
                <c:pt idx="74">
                  <c:v>0.20241156093464621</c:v>
                </c:pt>
                <c:pt idx="75">
                  <c:v>0.20415986383224299</c:v>
                </c:pt>
                <c:pt idx="76">
                  <c:v>0.20591609941915665</c:v>
                </c:pt>
                <c:pt idx="77">
                  <c:v>0.2076800664483715</c:v>
                </c:pt>
                <c:pt idx="78">
                  <c:v>0.20945156958113254</c:v>
                </c:pt>
                <c:pt idx="79">
                  <c:v>0.2112304192108703</c:v>
                </c:pt>
                <c:pt idx="80">
                  <c:v>0.21301643129110959</c:v>
                </c:pt>
                <c:pt idx="81">
                  <c:v>0.21480942716743137</c:v>
                </c:pt>
                <c:pt idx="82">
                  <c:v>0.21660923341353666</c:v>
                </c:pt>
                <c:pt idx="83">
                  <c:v>0.21841568167144043</c:v>
                </c:pt>
                <c:pt idx="84">
                  <c:v>0.22022860849580828</c:v>
                </c:pt>
                <c:pt idx="85">
                  <c:v>0.22204785520243153</c:v>
                </c:pt>
                <c:pt idx="86">
                  <c:v>0.22387326772082458</c:v>
                </c:pt>
                <c:pt idx="87">
                  <c:v>0.2257046964509157</c:v>
                </c:pt>
                <c:pt idx="88">
                  <c:v>0.22754199612379247</c:v>
                </c:pt>
                <c:pt idx="89">
                  <c:v>0.22938502566645452</c:v>
                </c:pt>
                <c:pt idx="90">
                  <c:v>0.23123364807051763</c:v>
                </c:pt>
                <c:pt idx="91">
                  <c:v>0.23308773026480825</c:v>
                </c:pt>
                <c:pt idx="92">
                  <c:v>0.23494714299178018</c:v>
                </c:pt>
                <c:pt idx="93">
                  <c:v>0.23681176068768206</c:v>
                </c:pt>
                <c:pt idx="94">
                  <c:v>0.23868146136639939</c:v>
                </c:pt>
                <c:pt idx="95">
                  <c:v>0.24055612650689237</c:v>
                </c:pt>
                <c:pt idx="96">
                  <c:v>0.24243564094414832</c:v>
                </c:pt>
                <c:pt idx="97">
                  <c:v>0.24431989276356519</c:v>
                </c:pt>
                <c:pt idx="98">
                  <c:v>0.24620877319868192</c:v>
                </c:pt>
                <c:pt idx="99">
                  <c:v>0.2481021765321699</c:v>
                </c:pt>
                <c:pt idx="100">
                  <c:v>0.25</c:v>
                </c:pt>
              </c:numCache>
            </c:numRef>
          </c:xVal>
          <c:yVal>
            <c:numRef>
              <c:f>'Correlation Demonstration'!$D$3:$D$103</c:f>
              <c:numCache>
                <c:formatCode>0.00%</c:formatCode>
                <c:ptCount val="101"/>
                <c:pt idx="0">
                  <c:v>0.08</c:v>
                </c:pt>
                <c:pt idx="1">
                  <c:v>8.0700000000000008E-2</c:v>
                </c:pt>
                <c:pt idx="2">
                  <c:v>8.14E-2</c:v>
                </c:pt>
                <c:pt idx="3">
                  <c:v>8.2100000000000006E-2</c:v>
                </c:pt>
                <c:pt idx="4">
                  <c:v>8.2799999999999999E-2</c:v>
                </c:pt>
                <c:pt idx="5">
                  <c:v>8.3499999999999991E-2</c:v>
                </c:pt>
                <c:pt idx="6">
                  <c:v>8.4199999999999997E-2</c:v>
                </c:pt>
                <c:pt idx="7">
                  <c:v>8.4899999999999989E-2</c:v>
                </c:pt>
                <c:pt idx="8">
                  <c:v>8.5599999999999996E-2</c:v>
                </c:pt>
                <c:pt idx="9">
                  <c:v>8.6300000000000002E-2</c:v>
                </c:pt>
                <c:pt idx="10">
                  <c:v>8.7000000000000008E-2</c:v>
                </c:pt>
                <c:pt idx="11">
                  <c:v>8.77E-2</c:v>
                </c:pt>
                <c:pt idx="12">
                  <c:v>8.8400000000000006E-2</c:v>
                </c:pt>
                <c:pt idx="13">
                  <c:v>8.9099999999999999E-2</c:v>
                </c:pt>
                <c:pt idx="14">
                  <c:v>8.9800000000000005E-2</c:v>
                </c:pt>
                <c:pt idx="15">
                  <c:v>9.0499999999999997E-2</c:v>
                </c:pt>
                <c:pt idx="16">
                  <c:v>9.1200000000000003E-2</c:v>
                </c:pt>
                <c:pt idx="17">
                  <c:v>9.1900000000000009E-2</c:v>
                </c:pt>
                <c:pt idx="18">
                  <c:v>9.2600000000000002E-2</c:v>
                </c:pt>
                <c:pt idx="19">
                  <c:v>9.3300000000000008E-2</c:v>
                </c:pt>
                <c:pt idx="20">
                  <c:v>9.4E-2</c:v>
                </c:pt>
                <c:pt idx="21">
                  <c:v>9.4700000000000006E-2</c:v>
                </c:pt>
                <c:pt idx="22">
                  <c:v>9.5400000000000013E-2</c:v>
                </c:pt>
                <c:pt idx="23">
                  <c:v>9.6100000000000005E-2</c:v>
                </c:pt>
                <c:pt idx="24">
                  <c:v>9.6799999999999997E-2</c:v>
                </c:pt>
                <c:pt idx="25">
                  <c:v>9.7500000000000003E-2</c:v>
                </c:pt>
                <c:pt idx="26">
                  <c:v>9.820000000000001E-2</c:v>
                </c:pt>
                <c:pt idx="27">
                  <c:v>9.8900000000000002E-2</c:v>
                </c:pt>
                <c:pt idx="28">
                  <c:v>9.9599999999999994E-2</c:v>
                </c:pt>
                <c:pt idx="29">
                  <c:v>0.1003</c:v>
                </c:pt>
                <c:pt idx="30">
                  <c:v>0.10099999999999999</c:v>
                </c:pt>
                <c:pt idx="31">
                  <c:v>0.1017</c:v>
                </c:pt>
                <c:pt idx="32">
                  <c:v>0.10239999999999999</c:v>
                </c:pt>
                <c:pt idx="33">
                  <c:v>0.1031</c:v>
                </c:pt>
                <c:pt idx="34">
                  <c:v>0.1038</c:v>
                </c:pt>
                <c:pt idx="35">
                  <c:v>0.1045</c:v>
                </c:pt>
                <c:pt idx="36">
                  <c:v>0.1052</c:v>
                </c:pt>
                <c:pt idx="37">
                  <c:v>0.10589999999999999</c:v>
                </c:pt>
                <c:pt idx="38">
                  <c:v>0.1066</c:v>
                </c:pt>
                <c:pt idx="39">
                  <c:v>0.10730000000000001</c:v>
                </c:pt>
                <c:pt idx="40">
                  <c:v>0.108</c:v>
                </c:pt>
                <c:pt idx="41">
                  <c:v>0.10869999999999999</c:v>
                </c:pt>
                <c:pt idx="42">
                  <c:v>0.1094</c:v>
                </c:pt>
                <c:pt idx="43">
                  <c:v>0.1101</c:v>
                </c:pt>
                <c:pt idx="44">
                  <c:v>0.11080000000000001</c:v>
                </c:pt>
                <c:pt idx="45">
                  <c:v>0.11150000000000002</c:v>
                </c:pt>
                <c:pt idx="46">
                  <c:v>0.11220000000000001</c:v>
                </c:pt>
                <c:pt idx="47">
                  <c:v>0.1129</c:v>
                </c:pt>
                <c:pt idx="48">
                  <c:v>0.11360000000000001</c:v>
                </c:pt>
                <c:pt idx="49">
                  <c:v>0.1143</c:v>
                </c:pt>
                <c:pt idx="50">
                  <c:v>0.11499999999999999</c:v>
                </c:pt>
                <c:pt idx="51">
                  <c:v>0.1157</c:v>
                </c:pt>
                <c:pt idx="52">
                  <c:v>0.1164</c:v>
                </c:pt>
                <c:pt idx="53">
                  <c:v>0.11710000000000001</c:v>
                </c:pt>
                <c:pt idx="54">
                  <c:v>0.1178</c:v>
                </c:pt>
                <c:pt idx="55">
                  <c:v>0.11849999999999999</c:v>
                </c:pt>
                <c:pt idx="56">
                  <c:v>0.1192</c:v>
                </c:pt>
                <c:pt idx="57">
                  <c:v>0.11990000000000001</c:v>
                </c:pt>
                <c:pt idx="58">
                  <c:v>0.1206</c:v>
                </c:pt>
                <c:pt idx="59">
                  <c:v>0.12129999999999999</c:v>
                </c:pt>
                <c:pt idx="60">
                  <c:v>0.122</c:v>
                </c:pt>
                <c:pt idx="61">
                  <c:v>0.1227</c:v>
                </c:pt>
                <c:pt idx="62">
                  <c:v>0.1234</c:v>
                </c:pt>
                <c:pt idx="63">
                  <c:v>0.1241</c:v>
                </c:pt>
                <c:pt idx="64">
                  <c:v>0.12479999999999999</c:v>
                </c:pt>
                <c:pt idx="65">
                  <c:v>0.1255</c:v>
                </c:pt>
                <c:pt idx="66">
                  <c:v>0.12620000000000001</c:v>
                </c:pt>
                <c:pt idx="67">
                  <c:v>0.12690000000000001</c:v>
                </c:pt>
                <c:pt idx="68">
                  <c:v>0.12759999999999999</c:v>
                </c:pt>
                <c:pt idx="69">
                  <c:v>0.1283</c:v>
                </c:pt>
                <c:pt idx="70">
                  <c:v>0.129</c:v>
                </c:pt>
                <c:pt idx="71">
                  <c:v>0.12970000000000001</c:v>
                </c:pt>
                <c:pt idx="72">
                  <c:v>0.13040000000000002</c:v>
                </c:pt>
                <c:pt idx="73">
                  <c:v>0.13109999999999999</c:v>
                </c:pt>
                <c:pt idx="74">
                  <c:v>0.1318</c:v>
                </c:pt>
                <c:pt idx="75">
                  <c:v>0.13249999999999998</c:v>
                </c:pt>
                <c:pt idx="76">
                  <c:v>0.13319999999999999</c:v>
                </c:pt>
                <c:pt idx="77">
                  <c:v>0.13389999999999999</c:v>
                </c:pt>
                <c:pt idx="78">
                  <c:v>0.1346</c:v>
                </c:pt>
                <c:pt idx="79">
                  <c:v>0.1353</c:v>
                </c:pt>
                <c:pt idx="80">
                  <c:v>0.13599999999999998</c:v>
                </c:pt>
                <c:pt idx="81">
                  <c:v>0.13669999999999999</c:v>
                </c:pt>
                <c:pt idx="82">
                  <c:v>0.13739999999999999</c:v>
                </c:pt>
                <c:pt idx="83">
                  <c:v>0.1381</c:v>
                </c:pt>
                <c:pt idx="84">
                  <c:v>0.13880000000000001</c:v>
                </c:pt>
                <c:pt idx="85">
                  <c:v>0.13950000000000001</c:v>
                </c:pt>
                <c:pt idx="86">
                  <c:v>0.14019999999999999</c:v>
                </c:pt>
                <c:pt idx="87">
                  <c:v>0.1409</c:v>
                </c:pt>
                <c:pt idx="88">
                  <c:v>0.1416</c:v>
                </c:pt>
                <c:pt idx="89">
                  <c:v>0.14230000000000001</c:v>
                </c:pt>
                <c:pt idx="90">
                  <c:v>0.14300000000000002</c:v>
                </c:pt>
                <c:pt idx="91">
                  <c:v>0.14369999999999999</c:v>
                </c:pt>
                <c:pt idx="92">
                  <c:v>0.1444</c:v>
                </c:pt>
                <c:pt idx="93">
                  <c:v>0.14510000000000001</c:v>
                </c:pt>
                <c:pt idx="94">
                  <c:v>0.14580000000000001</c:v>
                </c:pt>
                <c:pt idx="95">
                  <c:v>0.14650000000000002</c:v>
                </c:pt>
                <c:pt idx="96">
                  <c:v>0.1472</c:v>
                </c:pt>
                <c:pt idx="97">
                  <c:v>0.1479</c:v>
                </c:pt>
                <c:pt idx="98">
                  <c:v>0.14859999999999998</c:v>
                </c:pt>
                <c:pt idx="99">
                  <c:v>0.14929999999999999</c:v>
                </c:pt>
                <c:pt idx="100">
                  <c:v>0.15</c:v>
                </c:pt>
              </c:numCache>
            </c:numRef>
          </c:yVal>
          <c:smooth val="1"/>
          <c:extLst>
            <c:ext xmlns:c16="http://schemas.microsoft.com/office/drawing/2014/chart" uri="{C3380CC4-5D6E-409C-BE32-E72D297353CC}">
              <c16:uniqueId val="{00000001-FE01-475E-86B3-FC00A0D7E240}"/>
            </c:ext>
          </c:extLst>
        </c:ser>
        <c:ser>
          <c:idx val="2"/>
          <c:order val="2"/>
          <c:tx>
            <c:v>ρ =  0.00  (Strong Diversification)</c:v>
          </c:tx>
          <c:spPr>
            <a:ln w="20160">
              <a:solidFill>
                <a:srgbClr val="00800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'Correlation Demonstration'!$G$3:$G$103</c:f>
              <c:numCache>
                <c:formatCode>0.00%</c:formatCode>
                <c:ptCount val="101"/>
                <c:pt idx="0">
                  <c:v>0.12</c:v>
                </c:pt>
                <c:pt idx="1">
                  <c:v>0.11882630180225251</c:v>
                </c:pt>
                <c:pt idx="2">
                  <c:v>0.11770624452423924</c:v>
                </c:pt>
                <c:pt idx="3">
                  <c:v>0.11664137344870387</c:v>
                </c:pt>
                <c:pt idx="4">
                  <c:v>0.11563321322180752</c:v>
                </c:pt>
                <c:pt idx="5">
                  <c:v>0.11468325945838825</c:v>
                </c:pt>
                <c:pt idx="6">
                  <c:v>0.11379296990587774</c:v>
                </c:pt>
                <c:pt idx="7">
                  <c:v>0.11296375524919486</c:v>
                </c:pt>
                <c:pt idx="8">
                  <c:v>0.11219696965604731</c:v>
                </c:pt>
                <c:pt idx="9">
                  <c:v>0.11149390117849496</c:v>
                </c:pt>
                <c:pt idx="10">
                  <c:v>0.11085576214162257</c:v>
                </c:pt>
                <c:pt idx="11">
                  <c:v>0.11028367966294922</c:v>
                </c:pt>
                <c:pt idx="12">
                  <c:v>0.10977868645597832</c:v>
                </c:pt>
                <c:pt idx="13">
                  <c:v>0.10934171207732207</c:v>
                </c:pt>
                <c:pt idx="14">
                  <c:v>0.10897357477847554</c:v>
                </c:pt>
                <c:pt idx="15">
                  <c:v>0.10867497412007972</c:v>
                </c:pt>
                <c:pt idx="16">
                  <c:v>0.10844648449811548</c:v>
                </c:pt>
                <c:pt idx="17">
                  <c:v>0.10828854971787183</c:v>
                </c:pt>
                <c:pt idx="18">
                  <c:v>0.10820147873296374</c:v>
                </c:pt>
                <c:pt idx="19">
                  <c:v>0.10818544264363852</c:v>
                </c:pt>
                <c:pt idx="20">
                  <c:v>0.10824047302187847</c:v>
                </c:pt>
                <c:pt idx="21">
                  <c:v>0.10836646160136448</c:v>
                </c:pt>
                <c:pt idx="22">
                  <c:v>0.10856316133937884</c:v>
                </c:pt>
                <c:pt idx="23">
                  <c:v>0.1088301888264465</c:v>
                </c:pt>
                <c:pt idx="24">
                  <c:v>0.10916702798922394</c:v>
                </c:pt>
                <c:pt idx="25">
                  <c:v>0.10957303500405563</c:v>
                </c:pt>
                <c:pt idx="26">
                  <c:v>0.11004744431380495</c:v>
                </c:pt>
                <c:pt idx="27">
                  <c:v>0.11058937561990302</c:v>
                </c:pt>
                <c:pt idx="28">
                  <c:v>0.11119784170567341</c:v>
                </c:pt>
                <c:pt idx="29">
                  <c:v>0.1118717569362348</c:v>
                </c:pt>
                <c:pt idx="30">
                  <c:v>0.11260994627474075</c:v>
                </c:pt>
                <c:pt idx="31">
                  <c:v>0.11341115465420498</c:v>
                </c:pt>
                <c:pt idx="32">
                  <c:v>0.1142740565482822</c:v>
                </c:pt>
                <c:pt idx="33">
                  <c:v>0.11519726559254781</c:v>
                </c:pt>
                <c:pt idx="34">
                  <c:v>0.1161793441193399</c:v>
                </c:pt>
                <c:pt idx="35">
                  <c:v>0.11721881248332112</c:v>
                </c:pt>
                <c:pt idx="36">
                  <c:v>0.11831415807079049</c:v>
                </c:pt>
                <c:pt idx="37">
                  <c:v>0.11946384390266371</c:v>
                </c:pt>
                <c:pt idx="38">
                  <c:v>0.12066631675824037</c:v>
                </c:pt>
                <c:pt idx="39">
                  <c:v>0.12192001476377864</c:v>
                </c:pt>
                <c:pt idx="40">
                  <c:v>0.12322337440599491</c:v>
                </c:pt>
                <c:pt idx="41">
                  <c:v>0.12457483694550839</c:v>
                </c:pt>
                <c:pt idx="42">
                  <c:v>0.12597285421867682</c:v>
                </c:pt>
                <c:pt idx="43">
                  <c:v>0.12741589382804641</c:v>
                </c:pt>
                <c:pt idx="44">
                  <c:v>0.12890244373168416</c:v>
                </c:pt>
                <c:pt idx="45">
                  <c:v>0.13043101624997022</c:v>
                </c:pt>
                <c:pt idx="46">
                  <c:v>0.13200015151506456</c:v>
                </c:pt>
                <c:pt idx="47">
                  <c:v>0.13360842039332702</c:v>
                </c:pt>
                <c:pt idx="48">
                  <c:v>0.13525442691461156</c:v>
                </c:pt>
                <c:pt idx="49">
                  <c:v>0.13693681024472565</c:v>
                </c:pt>
                <c:pt idx="50">
                  <c:v>0.13865424623862047</c:v>
                </c:pt>
                <c:pt idx="51">
                  <c:v>0.14040544861222445</c:v>
                </c:pt>
                <c:pt idx="52">
                  <c:v>0.14218916977041535</c:v>
                </c:pt>
                <c:pt idx="53">
                  <c:v>0.14400420132760017</c:v>
                </c:pt>
                <c:pt idx="54">
                  <c:v>0.14584937435587442</c:v>
                </c:pt>
                <c:pt idx="55">
                  <c:v>0.14772355939388951</c:v>
                </c:pt>
                <c:pt idx="56">
                  <c:v>0.14962566624747239</c:v>
                </c:pt>
                <c:pt idx="57">
                  <c:v>0.15155464361081122</c:v>
                </c:pt>
                <c:pt idx="58">
                  <c:v>0.15350947853471458</c:v>
                </c:pt>
                <c:pt idx="59">
                  <c:v>0.15548919576613676</c:v>
                </c:pt>
                <c:pt idx="60">
                  <c:v>0.15749285698088025</c:v>
                </c:pt>
                <c:pt idx="61">
                  <c:v>0.15951955992918235</c:v>
                </c:pt>
                <c:pt idx="62">
                  <c:v>0.16156843751178632</c:v>
                </c:pt>
                <c:pt idx="63">
                  <c:v>0.16363865680211384</c:v>
                </c:pt>
                <c:pt idx="64">
                  <c:v>0.16572941802830299</c:v>
                </c:pt>
                <c:pt idx="65">
                  <c:v>0.1678399535271623</c:v>
                </c:pt>
                <c:pt idx="66">
                  <c:v>0.16996952668052001</c:v>
                </c:pt>
                <c:pt idx="67">
                  <c:v>0.17211743084301487</c:v>
                </c:pt>
                <c:pt idx="68">
                  <c:v>0.17428298826907923</c:v>
                </c:pt>
                <c:pt idx="69">
                  <c:v>0.17646554904569903</c:v>
                </c:pt>
                <c:pt idx="70">
                  <c:v>0.17866449003649271</c:v>
                </c:pt>
                <c:pt idx="71">
                  <c:v>0.18087921384172367</c:v>
                </c:pt>
                <c:pt idx="72">
                  <c:v>0.18310914777803974</c:v>
                </c:pt>
                <c:pt idx="73">
                  <c:v>0.18535374288101114</c:v>
                </c:pt>
                <c:pt idx="74">
                  <c:v>0.18761247293290495</c:v>
                </c:pt>
                <c:pt idx="75">
                  <c:v>0.18988483351758242</c:v>
                </c:pt>
                <c:pt idx="76">
                  <c:v>0.19217034110392789</c:v>
                </c:pt>
                <c:pt idx="77">
                  <c:v>0.19446853215880455</c:v>
                </c:pt>
                <c:pt idx="78">
                  <c:v>0.1967789622901798</c:v>
                </c:pt>
                <c:pt idx="79">
                  <c:v>0.19910120542076085</c:v>
                </c:pt>
                <c:pt idx="80">
                  <c:v>0.20143485299222677</c:v>
                </c:pt>
                <c:pt idx="81">
                  <c:v>0.20377951319992893</c:v>
                </c:pt>
                <c:pt idx="82">
                  <c:v>0.20613481025775343</c:v>
                </c:pt>
                <c:pt idx="83">
                  <c:v>0.20850038369269253</c:v>
                </c:pt>
                <c:pt idx="84">
                  <c:v>0.21087588766855256</c:v>
                </c:pt>
                <c:pt idx="85">
                  <c:v>0.21326099033813004</c:v>
                </c:pt>
                <c:pt idx="86">
                  <c:v>0.21565537322311262</c:v>
                </c:pt>
                <c:pt idx="87">
                  <c:v>0.21805873062090406</c:v>
                </c:pt>
                <c:pt idx="88">
                  <c:v>0.22047076903753021</c:v>
                </c:pt>
                <c:pt idx="89">
                  <c:v>0.22289120664575351</c:v>
                </c:pt>
                <c:pt idx="90">
                  <c:v>0.22531977276750481</c:v>
                </c:pt>
                <c:pt idx="91">
                  <c:v>0.22775620737973312</c:v>
                </c:pt>
                <c:pt idx="92">
                  <c:v>0.23020026064277166</c:v>
                </c:pt>
                <c:pt idx="93">
                  <c:v>0.23265169245032369</c:v>
                </c:pt>
                <c:pt idx="94">
                  <c:v>0.23511027200018295</c:v>
                </c:pt>
                <c:pt idx="95">
                  <c:v>0.23757577738481675</c:v>
                </c:pt>
                <c:pt idx="96">
                  <c:v>0.24004799520095976</c:v>
                </c:pt>
                <c:pt idx="97">
                  <c:v>0.2425267201773858</c:v>
                </c:pt>
                <c:pt idx="98">
                  <c:v>0.24501175482004939</c:v>
                </c:pt>
                <c:pt idx="99">
                  <c:v>0.2475029090738127</c:v>
                </c:pt>
                <c:pt idx="100">
                  <c:v>0.25</c:v>
                </c:pt>
              </c:numCache>
            </c:numRef>
          </c:xVal>
          <c:yVal>
            <c:numRef>
              <c:f>'Correlation Demonstration'!$D$3:$D$103</c:f>
              <c:numCache>
                <c:formatCode>0.00%</c:formatCode>
                <c:ptCount val="101"/>
                <c:pt idx="0">
                  <c:v>0.08</c:v>
                </c:pt>
                <c:pt idx="1">
                  <c:v>8.0700000000000008E-2</c:v>
                </c:pt>
                <c:pt idx="2">
                  <c:v>8.14E-2</c:v>
                </c:pt>
                <c:pt idx="3">
                  <c:v>8.2100000000000006E-2</c:v>
                </c:pt>
                <c:pt idx="4">
                  <c:v>8.2799999999999999E-2</c:v>
                </c:pt>
                <c:pt idx="5">
                  <c:v>8.3499999999999991E-2</c:v>
                </c:pt>
                <c:pt idx="6">
                  <c:v>8.4199999999999997E-2</c:v>
                </c:pt>
                <c:pt idx="7">
                  <c:v>8.4899999999999989E-2</c:v>
                </c:pt>
                <c:pt idx="8">
                  <c:v>8.5599999999999996E-2</c:v>
                </c:pt>
                <c:pt idx="9">
                  <c:v>8.6300000000000002E-2</c:v>
                </c:pt>
                <c:pt idx="10">
                  <c:v>8.7000000000000008E-2</c:v>
                </c:pt>
                <c:pt idx="11">
                  <c:v>8.77E-2</c:v>
                </c:pt>
                <c:pt idx="12">
                  <c:v>8.8400000000000006E-2</c:v>
                </c:pt>
                <c:pt idx="13">
                  <c:v>8.9099999999999999E-2</c:v>
                </c:pt>
                <c:pt idx="14">
                  <c:v>8.9800000000000005E-2</c:v>
                </c:pt>
                <c:pt idx="15">
                  <c:v>9.0499999999999997E-2</c:v>
                </c:pt>
                <c:pt idx="16">
                  <c:v>9.1200000000000003E-2</c:v>
                </c:pt>
                <c:pt idx="17">
                  <c:v>9.1900000000000009E-2</c:v>
                </c:pt>
                <c:pt idx="18">
                  <c:v>9.2600000000000002E-2</c:v>
                </c:pt>
                <c:pt idx="19">
                  <c:v>9.3300000000000008E-2</c:v>
                </c:pt>
                <c:pt idx="20">
                  <c:v>9.4E-2</c:v>
                </c:pt>
                <c:pt idx="21">
                  <c:v>9.4700000000000006E-2</c:v>
                </c:pt>
                <c:pt idx="22">
                  <c:v>9.5400000000000013E-2</c:v>
                </c:pt>
                <c:pt idx="23">
                  <c:v>9.6100000000000005E-2</c:v>
                </c:pt>
                <c:pt idx="24">
                  <c:v>9.6799999999999997E-2</c:v>
                </c:pt>
                <c:pt idx="25">
                  <c:v>9.7500000000000003E-2</c:v>
                </c:pt>
                <c:pt idx="26">
                  <c:v>9.820000000000001E-2</c:v>
                </c:pt>
                <c:pt idx="27">
                  <c:v>9.8900000000000002E-2</c:v>
                </c:pt>
                <c:pt idx="28">
                  <c:v>9.9599999999999994E-2</c:v>
                </c:pt>
                <c:pt idx="29">
                  <c:v>0.1003</c:v>
                </c:pt>
                <c:pt idx="30">
                  <c:v>0.10099999999999999</c:v>
                </c:pt>
                <c:pt idx="31">
                  <c:v>0.1017</c:v>
                </c:pt>
                <c:pt idx="32">
                  <c:v>0.10239999999999999</c:v>
                </c:pt>
                <c:pt idx="33">
                  <c:v>0.1031</c:v>
                </c:pt>
                <c:pt idx="34">
                  <c:v>0.1038</c:v>
                </c:pt>
                <c:pt idx="35">
                  <c:v>0.1045</c:v>
                </c:pt>
                <c:pt idx="36">
                  <c:v>0.1052</c:v>
                </c:pt>
                <c:pt idx="37">
                  <c:v>0.10589999999999999</c:v>
                </c:pt>
                <c:pt idx="38">
                  <c:v>0.1066</c:v>
                </c:pt>
                <c:pt idx="39">
                  <c:v>0.10730000000000001</c:v>
                </c:pt>
                <c:pt idx="40">
                  <c:v>0.108</c:v>
                </c:pt>
                <c:pt idx="41">
                  <c:v>0.10869999999999999</c:v>
                </c:pt>
                <c:pt idx="42">
                  <c:v>0.1094</c:v>
                </c:pt>
                <c:pt idx="43">
                  <c:v>0.1101</c:v>
                </c:pt>
                <c:pt idx="44">
                  <c:v>0.11080000000000001</c:v>
                </c:pt>
                <c:pt idx="45">
                  <c:v>0.11150000000000002</c:v>
                </c:pt>
                <c:pt idx="46">
                  <c:v>0.11220000000000001</c:v>
                </c:pt>
                <c:pt idx="47">
                  <c:v>0.1129</c:v>
                </c:pt>
                <c:pt idx="48">
                  <c:v>0.11360000000000001</c:v>
                </c:pt>
                <c:pt idx="49">
                  <c:v>0.1143</c:v>
                </c:pt>
                <c:pt idx="50">
                  <c:v>0.11499999999999999</c:v>
                </c:pt>
                <c:pt idx="51">
                  <c:v>0.1157</c:v>
                </c:pt>
                <c:pt idx="52">
                  <c:v>0.1164</c:v>
                </c:pt>
                <c:pt idx="53">
                  <c:v>0.11710000000000001</c:v>
                </c:pt>
                <c:pt idx="54">
                  <c:v>0.1178</c:v>
                </c:pt>
                <c:pt idx="55">
                  <c:v>0.11849999999999999</c:v>
                </c:pt>
                <c:pt idx="56">
                  <c:v>0.1192</c:v>
                </c:pt>
                <c:pt idx="57">
                  <c:v>0.11990000000000001</c:v>
                </c:pt>
                <c:pt idx="58">
                  <c:v>0.1206</c:v>
                </c:pt>
                <c:pt idx="59">
                  <c:v>0.12129999999999999</c:v>
                </c:pt>
                <c:pt idx="60">
                  <c:v>0.122</c:v>
                </c:pt>
                <c:pt idx="61">
                  <c:v>0.1227</c:v>
                </c:pt>
                <c:pt idx="62">
                  <c:v>0.1234</c:v>
                </c:pt>
                <c:pt idx="63">
                  <c:v>0.1241</c:v>
                </c:pt>
                <c:pt idx="64">
                  <c:v>0.12479999999999999</c:v>
                </c:pt>
                <c:pt idx="65">
                  <c:v>0.1255</c:v>
                </c:pt>
                <c:pt idx="66">
                  <c:v>0.12620000000000001</c:v>
                </c:pt>
                <c:pt idx="67">
                  <c:v>0.12690000000000001</c:v>
                </c:pt>
                <c:pt idx="68">
                  <c:v>0.12759999999999999</c:v>
                </c:pt>
                <c:pt idx="69">
                  <c:v>0.1283</c:v>
                </c:pt>
                <c:pt idx="70">
                  <c:v>0.129</c:v>
                </c:pt>
                <c:pt idx="71">
                  <c:v>0.12970000000000001</c:v>
                </c:pt>
                <c:pt idx="72">
                  <c:v>0.13040000000000002</c:v>
                </c:pt>
                <c:pt idx="73">
                  <c:v>0.13109999999999999</c:v>
                </c:pt>
                <c:pt idx="74">
                  <c:v>0.1318</c:v>
                </c:pt>
                <c:pt idx="75">
                  <c:v>0.13249999999999998</c:v>
                </c:pt>
                <c:pt idx="76">
                  <c:v>0.13319999999999999</c:v>
                </c:pt>
                <c:pt idx="77">
                  <c:v>0.13389999999999999</c:v>
                </c:pt>
                <c:pt idx="78">
                  <c:v>0.1346</c:v>
                </c:pt>
                <c:pt idx="79">
                  <c:v>0.1353</c:v>
                </c:pt>
                <c:pt idx="80">
                  <c:v>0.13599999999999998</c:v>
                </c:pt>
                <c:pt idx="81">
                  <c:v>0.13669999999999999</c:v>
                </c:pt>
                <c:pt idx="82">
                  <c:v>0.13739999999999999</c:v>
                </c:pt>
                <c:pt idx="83">
                  <c:v>0.1381</c:v>
                </c:pt>
                <c:pt idx="84">
                  <c:v>0.13880000000000001</c:v>
                </c:pt>
                <c:pt idx="85">
                  <c:v>0.13950000000000001</c:v>
                </c:pt>
                <c:pt idx="86">
                  <c:v>0.14019999999999999</c:v>
                </c:pt>
                <c:pt idx="87">
                  <c:v>0.1409</c:v>
                </c:pt>
                <c:pt idx="88">
                  <c:v>0.1416</c:v>
                </c:pt>
                <c:pt idx="89">
                  <c:v>0.14230000000000001</c:v>
                </c:pt>
                <c:pt idx="90">
                  <c:v>0.14300000000000002</c:v>
                </c:pt>
                <c:pt idx="91">
                  <c:v>0.14369999999999999</c:v>
                </c:pt>
                <c:pt idx="92">
                  <c:v>0.1444</c:v>
                </c:pt>
                <c:pt idx="93">
                  <c:v>0.14510000000000001</c:v>
                </c:pt>
                <c:pt idx="94">
                  <c:v>0.14580000000000001</c:v>
                </c:pt>
                <c:pt idx="95">
                  <c:v>0.14650000000000002</c:v>
                </c:pt>
                <c:pt idx="96">
                  <c:v>0.1472</c:v>
                </c:pt>
                <c:pt idx="97">
                  <c:v>0.1479</c:v>
                </c:pt>
                <c:pt idx="98">
                  <c:v>0.14859999999999998</c:v>
                </c:pt>
                <c:pt idx="99">
                  <c:v>0.14929999999999999</c:v>
                </c:pt>
                <c:pt idx="100">
                  <c:v>0.15</c:v>
                </c:pt>
              </c:numCache>
            </c:numRef>
          </c:yVal>
          <c:smooth val="1"/>
          <c:extLst>
            <c:ext xmlns:c16="http://schemas.microsoft.com/office/drawing/2014/chart" uri="{C3380CC4-5D6E-409C-BE32-E72D297353CC}">
              <c16:uniqueId val="{00000002-FE01-475E-86B3-FC00A0D7E240}"/>
            </c:ext>
          </c:extLst>
        </c:ser>
        <c:ser>
          <c:idx val="3"/>
          <c:order val="3"/>
          <c:tx>
            <c:v>ρ = –0.50  (Very Strong Diversification)</c:v>
          </c:tx>
          <c:spPr>
            <a:ln w="20160">
              <a:solidFill>
                <a:srgbClr val="4472C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'Correlation Demonstration'!$H$3:$H$103</c:f>
              <c:numCache>
                <c:formatCode>0.00%</c:formatCode>
                <c:ptCount val="101"/>
                <c:pt idx="0">
                  <c:v>0.12</c:v>
                </c:pt>
                <c:pt idx="1">
                  <c:v>0.11756993663347785</c:v>
                </c:pt>
                <c:pt idx="2">
                  <c:v>0.11518142211311683</c:v>
                </c:pt>
                <c:pt idx="3">
                  <c:v>0.11283709496437773</c:v>
                </c:pt>
                <c:pt idx="4">
                  <c:v>0.11053976660007926</c:v>
                </c:pt>
                <c:pt idx="5">
                  <c:v>0.10829242817482669</c:v>
                </c:pt>
                <c:pt idx="6">
                  <c:v>0.10609825634759508</c:v>
                </c:pt>
                <c:pt idx="7">
                  <c:v>0.10396061754337552</c:v>
                </c:pt>
                <c:pt idx="8">
                  <c:v>0.1018830702324974</c:v>
                </c:pt>
                <c:pt idx="9">
                  <c:v>9.9869364672055455E-2</c:v>
                </c:pt>
                <c:pt idx="10">
                  <c:v>9.7923439482077018E-2</c:v>
                </c:pt>
                <c:pt idx="11">
                  <c:v>9.6049414365731556E-2</c:v>
                </c:pt>
                <c:pt idx="12">
                  <c:v>9.4251578236122915E-2</c:v>
                </c:pt>
                <c:pt idx="13">
                  <c:v>9.2534371992249453E-2</c:v>
                </c:pt>
                <c:pt idx="14">
                  <c:v>9.0902365205752469E-2</c:v>
                </c:pt>
                <c:pt idx="15">
                  <c:v>8.9360226051638861E-2</c:v>
                </c:pt>
                <c:pt idx="16">
                  <c:v>8.791268395402338E-2</c:v>
                </c:pt>
                <c:pt idx="17">
                  <c:v>8.6564484634288674E-2</c:v>
                </c:pt>
                <c:pt idx="18">
                  <c:v>8.5320337552074896E-2</c:v>
                </c:pt>
                <c:pt idx="19">
                  <c:v>8.4184856120326057E-2</c:v>
                </c:pt>
                <c:pt idx="20">
                  <c:v>8.316249154516718E-2</c:v>
                </c:pt>
                <c:pt idx="21">
                  <c:v>8.2257461667620171E-2</c:v>
                </c:pt>
                <c:pt idx="22">
                  <c:v>8.1473676730585809E-2</c:v>
                </c:pt>
                <c:pt idx="23">
                  <c:v>8.0814664510842335E-2</c:v>
                </c:pt>
                <c:pt idx="24">
                  <c:v>8.0283497681653118E-2</c:v>
                </c:pt>
                <c:pt idx="25">
                  <c:v>7.9882726543352281E-2</c:v>
                </c:pt>
                <c:pt idx="26">
                  <c:v>7.9614320319902246E-2</c:v>
                </c:pt>
                <c:pt idx="27">
                  <c:v>7.9479620029288003E-2</c:v>
                </c:pt>
                <c:pt idx="28">
                  <c:v>7.9479305482622345E-2</c:v>
                </c:pt>
                <c:pt idx="29">
                  <c:v>7.9613378272750113E-2</c:v>
                </c:pt>
                <c:pt idx="30">
                  <c:v>7.9881161734166081E-2</c:v>
                </c:pt>
                <c:pt idx="31">
                  <c:v>8.0281317876576996E-2</c:v>
                </c:pt>
                <c:pt idx="32">
                  <c:v>8.0811880314716103E-2</c:v>
                </c:pt>
                <c:pt idx="33">
                  <c:v>8.1470301337358511E-2</c:v>
                </c:pt>
                <c:pt idx="34">
                  <c:v>8.2253510563379595E-2</c:v>
                </c:pt>
                <c:pt idx="35">
                  <c:v>8.3157982178501663E-2</c:v>
                </c:pt>
                <c:pt idx="36">
                  <c:v>8.417980755501879E-2</c:v>
                </c:pt>
                <c:pt idx="37">
                  <c:v>8.5314770116316913E-2</c:v>
                </c:pt>
                <c:pt idx="38">
                  <c:v>8.6558419578917925E-2</c:v>
                </c:pt>
                <c:pt idx="39">
                  <c:v>8.7906143130045244E-2</c:v>
                </c:pt>
                <c:pt idx="40">
                  <c:v>8.9353231614754711E-2</c:v>
                </c:pt>
                <c:pt idx="41">
                  <c:v>9.0894939353079504E-2</c:v>
                </c:pt>
                <c:pt idx="42">
                  <c:v>9.2526536734063483E-2</c:v>
                </c:pt>
                <c:pt idx="43">
                  <c:v>9.4243355203430648E-2</c:v>
                </c:pt>
                <c:pt idx="44">
                  <c:v>9.6040824652852699E-2</c:v>
                </c:pt>
                <c:pt idx="45">
                  <c:v>9.7914503522205529E-2</c:v>
                </c:pt>
                <c:pt idx="46">
                  <c:v>9.9860102142947965E-2</c:v>
                </c:pt>
                <c:pt idx="47">
                  <c:v>0.10187349998895691</c:v>
                </c:pt>
                <c:pt idx="48">
                  <c:v>0.10395075757299704</c:v>
                </c:pt>
                <c:pt idx="49">
                  <c:v>0.10608812374625162</c:v>
                </c:pt>
                <c:pt idx="50">
                  <c:v>0.10828203913853857</c:v>
                </c:pt>
                <c:pt idx="51">
                  <c:v>0.11052913643017391</c:v>
                </c:pt>
                <c:pt idx="52">
                  <c:v>0.1128262380831693</c:v>
                </c:pt>
                <c:pt idx="53">
                  <c:v>0.11517035208767924</c:v>
                </c:pt>
                <c:pt idx="54">
                  <c:v>0.11755866620543123</c:v>
                </c:pt>
                <c:pt idx="55">
                  <c:v>0.11998854111955859</c:v>
                </c:pt>
                <c:pt idx="56">
                  <c:v>0.12245750283261538</c:v>
                </c:pt>
                <c:pt idx="57">
                  <c:v>0.12496323459321948</c:v>
                </c:pt>
                <c:pt idx="58">
                  <c:v>0.1275035685775108</c:v>
                </c:pt>
                <c:pt idx="59">
                  <c:v>0.1300764775045819</c:v>
                </c:pt>
                <c:pt idx="60">
                  <c:v>0.13268006632497589</c:v>
                </c:pt>
                <c:pt idx="61">
                  <c:v>0.13531256408774464</c:v>
                </c:pt>
                <c:pt idx="62">
                  <c:v>0.13797231606376695</c:v>
                </c:pt>
                <c:pt idx="63">
                  <c:v>0.14065777618034489</c:v>
                </c:pt>
                <c:pt idx="64">
                  <c:v>0.14336749980382585</c:v>
                </c:pt>
                <c:pt idx="65">
                  <c:v>0.14610013689247522</c:v>
                </c:pt>
                <c:pt idx="66">
                  <c:v>0.14885442553044906</c:v>
                </c:pt>
                <c:pt idx="67">
                  <c:v>0.15162918584494214</c:v>
                </c:pt>
                <c:pt idx="68">
                  <c:v>0.1544233143019538</c:v>
                </c:pt>
                <c:pt idx="69">
                  <c:v>0.15723577837120917</c:v>
                </c:pt>
                <c:pt idx="70">
                  <c:v>0.16006561154726523</c:v>
                </c:pt>
                <c:pt idx="71">
                  <c:v>0.162911908711426</c:v>
                </c:pt>
                <c:pt idx="72">
                  <c:v>0.16577382181755959</c:v>
                </c:pt>
                <c:pt idx="73">
                  <c:v>0.16865055588405273</c:v>
                </c:pt>
                <c:pt idx="74">
                  <c:v>0.17154136527380209</c:v>
                </c:pt>
                <c:pt idx="75">
                  <c:v>0.17444555024419511</c:v>
                </c:pt>
                <c:pt idx="76">
                  <c:v>0.17736245374937731</c:v>
                </c:pt>
                <c:pt idx="77">
                  <c:v>0.18029145847765501</c:v>
                </c:pt>
                <c:pt idx="78">
                  <c:v>0.18323198410757877</c:v>
                </c:pt>
                <c:pt idx="79">
                  <c:v>0.18618348476704372</c:v>
                </c:pt>
                <c:pt idx="80">
                  <c:v>0.18914544668059025</c:v>
                </c:pt>
                <c:pt idx="81">
                  <c:v>0.19211738599096129</c:v>
                </c:pt>
                <c:pt idx="82">
                  <c:v>0.19509884674185032</c:v>
                </c:pt>
                <c:pt idx="83">
                  <c:v>0.19808939900963909</c:v>
                </c:pt>
                <c:pt idx="84">
                  <c:v>0.20108863717276518</c:v>
                </c:pt>
                <c:pt idx="85">
                  <c:v>0.2040961783081692</c:v>
                </c:pt>
                <c:pt idx="86">
                  <c:v>0.20711166070504095</c:v>
                </c:pt>
                <c:pt idx="87">
                  <c:v>0.21013474248681488</c:v>
                </c:pt>
                <c:pt idx="88">
                  <c:v>0.21316510033305169</c:v>
                </c:pt>
                <c:pt idx="89">
                  <c:v>0.2162024282934861</c:v>
                </c:pt>
                <c:pt idx="90">
                  <c:v>0.21924643668712154</c:v>
                </c:pt>
                <c:pt idx="91">
                  <c:v>0.22229685107981176</c:v>
                </c:pt>
                <c:pt idx="92">
                  <c:v>0.22535341133428621</c:v>
                </c:pt>
                <c:pt idx="93">
                  <c:v>0.22841587072705785</c:v>
                </c:pt>
                <c:pt idx="94">
                  <c:v>0.23148399512709297</c:v>
                </c:pt>
                <c:pt idx="95">
                  <c:v>0.23455756223153415</c:v>
                </c:pt>
                <c:pt idx="96">
                  <c:v>0.23763636085414203</c:v>
                </c:pt>
                <c:pt idx="97">
                  <c:v>0.24072019026247049</c:v>
                </c:pt>
                <c:pt idx="98">
                  <c:v>0.24380885956010703</c:v>
                </c:pt>
                <c:pt idx="99">
                  <c:v>0.24690218711060458</c:v>
                </c:pt>
                <c:pt idx="100">
                  <c:v>0.25</c:v>
                </c:pt>
              </c:numCache>
            </c:numRef>
          </c:xVal>
          <c:yVal>
            <c:numRef>
              <c:f>'Correlation Demonstration'!$D$3:$D$103</c:f>
              <c:numCache>
                <c:formatCode>0.00%</c:formatCode>
                <c:ptCount val="101"/>
                <c:pt idx="0">
                  <c:v>0.08</c:v>
                </c:pt>
                <c:pt idx="1">
                  <c:v>8.0700000000000008E-2</c:v>
                </c:pt>
                <c:pt idx="2">
                  <c:v>8.14E-2</c:v>
                </c:pt>
                <c:pt idx="3">
                  <c:v>8.2100000000000006E-2</c:v>
                </c:pt>
                <c:pt idx="4">
                  <c:v>8.2799999999999999E-2</c:v>
                </c:pt>
                <c:pt idx="5">
                  <c:v>8.3499999999999991E-2</c:v>
                </c:pt>
                <c:pt idx="6">
                  <c:v>8.4199999999999997E-2</c:v>
                </c:pt>
                <c:pt idx="7">
                  <c:v>8.4899999999999989E-2</c:v>
                </c:pt>
                <c:pt idx="8">
                  <c:v>8.5599999999999996E-2</c:v>
                </c:pt>
                <c:pt idx="9">
                  <c:v>8.6300000000000002E-2</c:v>
                </c:pt>
                <c:pt idx="10">
                  <c:v>8.7000000000000008E-2</c:v>
                </c:pt>
                <c:pt idx="11">
                  <c:v>8.77E-2</c:v>
                </c:pt>
                <c:pt idx="12">
                  <c:v>8.8400000000000006E-2</c:v>
                </c:pt>
                <c:pt idx="13">
                  <c:v>8.9099999999999999E-2</c:v>
                </c:pt>
                <c:pt idx="14">
                  <c:v>8.9800000000000005E-2</c:v>
                </c:pt>
                <c:pt idx="15">
                  <c:v>9.0499999999999997E-2</c:v>
                </c:pt>
                <c:pt idx="16">
                  <c:v>9.1200000000000003E-2</c:v>
                </c:pt>
                <c:pt idx="17">
                  <c:v>9.1900000000000009E-2</c:v>
                </c:pt>
                <c:pt idx="18">
                  <c:v>9.2600000000000002E-2</c:v>
                </c:pt>
                <c:pt idx="19">
                  <c:v>9.3300000000000008E-2</c:v>
                </c:pt>
                <c:pt idx="20">
                  <c:v>9.4E-2</c:v>
                </c:pt>
                <c:pt idx="21">
                  <c:v>9.4700000000000006E-2</c:v>
                </c:pt>
                <c:pt idx="22">
                  <c:v>9.5400000000000013E-2</c:v>
                </c:pt>
                <c:pt idx="23">
                  <c:v>9.6100000000000005E-2</c:v>
                </c:pt>
                <c:pt idx="24">
                  <c:v>9.6799999999999997E-2</c:v>
                </c:pt>
                <c:pt idx="25">
                  <c:v>9.7500000000000003E-2</c:v>
                </c:pt>
                <c:pt idx="26">
                  <c:v>9.820000000000001E-2</c:v>
                </c:pt>
                <c:pt idx="27">
                  <c:v>9.8900000000000002E-2</c:v>
                </c:pt>
                <c:pt idx="28">
                  <c:v>9.9599999999999994E-2</c:v>
                </c:pt>
                <c:pt idx="29">
                  <c:v>0.1003</c:v>
                </c:pt>
                <c:pt idx="30">
                  <c:v>0.10099999999999999</c:v>
                </c:pt>
                <c:pt idx="31">
                  <c:v>0.1017</c:v>
                </c:pt>
                <c:pt idx="32">
                  <c:v>0.10239999999999999</c:v>
                </c:pt>
                <c:pt idx="33">
                  <c:v>0.1031</c:v>
                </c:pt>
                <c:pt idx="34">
                  <c:v>0.1038</c:v>
                </c:pt>
                <c:pt idx="35">
                  <c:v>0.1045</c:v>
                </c:pt>
                <c:pt idx="36">
                  <c:v>0.1052</c:v>
                </c:pt>
                <c:pt idx="37">
                  <c:v>0.10589999999999999</c:v>
                </c:pt>
                <c:pt idx="38">
                  <c:v>0.1066</c:v>
                </c:pt>
                <c:pt idx="39">
                  <c:v>0.10730000000000001</c:v>
                </c:pt>
                <c:pt idx="40">
                  <c:v>0.108</c:v>
                </c:pt>
                <c:pt idx="41">
                  <c:v>0.10869999999999999</c:v>
                </c:pt>
                <c:pt idx="42">
                  <c:v>0.1094</c:v>
                </c:pt>
                <c:pt idx="43">
                  <c:v>0.1101</c:v>
                </c:pt>
                <c:pt idx="44">
                  <c:v>0.11080000000000001</c:v>
                </c:pt>
                <c:pt idx="45">
                  <c:v>0.11150000000000002</c:v>
                </c:pt>
                <c:pt idx="46">
                  <c:v>0.11220000000000001</c:v>
                </c:pt>
                <c:pt idx="47">
                  <c:v>0.1129</c:v>
                </c:pt>
                <c:pt idx="48">
                  <c:v>0.11360000000000001</c:v>
                </c:pt>
                <c:pt idx="49">
                  <c:v>0.1143</c:v>
                </c:pt>
                <c:pt idx="50">
                  <c:v>0.11499999999999999</c:v>
                </c:pt>
                <c:pt idx="51">
                  <c:v>0.1157</c:v>
                </c:pt>
                <c:pt idx="52">
                  <c:v>0.1164</c:v>
                </c:pt>
                <c:pt idx="53">
                  <c:v>0.11710000000000001</c:v>
                </c:pt>
                <c:pt idx="54">
                  <c:v>0.1178</c:v>
                </c:pt>
                <c:pt idx="55">
                  <c:v>0.11849999999999999</c:v>
                </c:pt>
                <c:pt idx="56">
                  <c:v>0.1192</c:v>
                </c:pt>
                <c:pt idx="57">
                  <c:v>0.11990000000000001</c:v>
                </c:pt>
                <c:pt idx="58">
                  <c:v>0.1206</c:v>
                </c:pt>
                <c:pt idx="59">
                  <c:v>0.12129999999999999</c:v>
                </c:pt>
                <c:pt idx="60">
                  <c:v>0.122</c:v>
                </c:pt>
                <c:pt idx="61">
                  <c:v>0.1227</c:v>
                </c:pt>
                <c:pt idx="62">
                  <c:v>0.1234</c:v>
                </c:pt>
                <c:pt idx="63">
                  <c:v>0.1241</c:v>
                </c:pt>
                <c:pt idx="64">
                  <c:v>0.12479999999999999</c:v>
                </c:pt>
                <c:pt idx="65">
                  <c:v>0.1255</c:v>
                </c:pt>
                <c:pt idx="66">
                  <c:v>0.12620000000000001</c:v>
                </c:pt>
                <c:pt idx="67">
                  <c:v>0.12690000000000001</c:v>
                </c:pt>
                <c:pt idx="68">
                  <c:v>0.12759999999999999</c:v>
                </c:pt>
                <c:pt idx="69">
                  <c:v>0.1283</c:v>
                </c:pt>
                <c:pt idx="70">
                  <c:v>0.129</c:v>
                </c:pt>
                <c:pt idx="71">
                  <c:v>0.12970000000000001</c:v>
                </c:pt>
                <c:pt idx="72">
                  <c:v>0.13040000000000002</c:v>
                </c:pt>
                <c:pt idx="73">
                  <c:v>0.13109999999999999</c:v>
                </c:pt>
                <c:pt idx="74">
                  <c:v>0.1318</c:v>
                </c:pt>
                <c:pt idx="75">
                  <c:v>0.13249999999999998</c:v>
                </c:pt>
                <c:pt idx="76">
                  <c:v>0.13319999999999999</c:v>
                </c:pt>
                <c:pt idx="77">
                  <c:v>0.13389999999999999</c:v>
                </c:pt>
                <c:pt idx="78">
                  <c:v>0.1346</c:v>
                </c:pt>
                <c:pt idx="79">
                  <c:v>0.1353</c:v>
                </c:pt>
                <c:pt idx="80">
                  <c:v>0.13599999999999998</c:v>
                </c:pt>
                <c:pt idx="81">
                  <c:v>0.13669999999999999</c:v>
                </c:pt>
                <c:pt idx="82">
                  <c:v>0.13739999999999999</c:v>
                </c:pt>
                <c:pt idx="83">
                  <c:v>0.1381</c:v>
                </c:pt>
                <c:pt idx="84">
                  <c:v>0.13880000000000001</c:v>
                </c:pt>
                <c:pt idx="85">
                  <c:v>0.13950000000000001</c:v>
                </c:pt>
                <c:pt idx="86">
                  <c:v>0.14019999999999999</c:v>
                </c:pt>
                <c:pt idx="87">
                  <c:v>0.1409</c:v>
                </c:pt>
                <c:pt idx="88">
                  <c:v>0.1416</c:v>
                </c:pt>
                <c:pt idx="89">
                  <c:v>0.14230000000000001</c:v>
                </c:pt>
                <c:pt idx="90">
                  <c:v>0.14300000000000002</c:v>
                </c:pt>
                <c:pt idx="91">
                  <c:v>0.14369999999999999</c:v>
                </c:pt>
                <c:pt idx="92">
                  <c:v>0.1444</c:v>
                </c:pt>
                <c:pt idx="93">
                  <c:v>0.14510000000000001</c:v>
                </c:pt>
                <c:pt idx="94">
                  <c:v>0.14580000000000001</c:v>
                </c:pt>
                <c:pt idx="95">
                  <c:v>0.14650000000000002</c:v>
                </c:pt>
                <c:pt idx="96">
                  <c:v>0.1472</c:v>
                </c:pt>
                <c:pt idx="97">
                  <c:v>0.1479</c:v>
                </c:pt>
                <c:pt idx="98">
                  <c:v>0.14859999999999998</c:v>
                </c:pt>
                <c:pt idx="99">
                  <c:v>0.14929999999999999</c:v>
                </c:pt>
                <c:pt idx="100">
                  <c:v>0.15</c:v>
                </c:pt>
              </c:numCache>
            </c:numRef>
          </c:yVal>
          <c:smooth val="1"/>
          <c:extLst>
            <c:ext xmlns:c16="http://schemas.microsoft.com/office/drawing/2014/chart" uri="{C3380CC4-5D6E-409C-BE32-E72D297353CC}">
              <c16:uniqueId val="{00000003-FE01-475E-86B3-FC00A0D7E240}"/>
            </c:ext>
          </c:extLst>
        </c:ser>
        <c:ser>
          <c:idx val="4"/>
          <c:order val="4"/>
          <c:tx>
            <c:v>ρ = –1.00  (Perfect Hedge – Risk→0 Possible)</c:v>
          </c:tx>
          <c:spPr>
            <a:ln w="20160">
              <a:solidFill>
                <a:srgbClr val="7030A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'Correlation Demonstration'!$I$3:$I$103</c:f>
              <c:numCache>
                <c:formatCode>0.00%</c:formatCode>
                <c:ptCount val="101"/>
                <c:pt idx="0">
                  <c:v>0.12</c:v>
                </c:pt>
                <c:pt idx="1">
                  <c:v>0.11629999999999999</c:v>
                </c:pt>
                <c:pt idx="2">
                  <c:v>0.11259999999999999</c:v>
                </c:pt>
                <c:pt idx="3">
                  <c:v>0.1089</c:v>
                </c:pt>
                <c:pt idx="4">
                  <c:v>0.1052</c:v>
                </c:pt>
                <c:pt idx="5">
                  <c:v>0.10149999999999999</c:v>
                </c:pt>
                <c:pt idx="6">
                  <c:v>9.7799999999999984E-2</c:v>
                </c:pt>
                <c:pt idx="7">
                  <c:v>9.4099999999999989E-2</c:v>
                </c:pt>
                <c:pt idx="8">
                  <c:v>9.0399999999999994E-2</c:v>
                </c:pt>
                <c:pt idx="9">
                  <c:v>8.6699999999999999E-2</c:v>
                </c:pt>
                <c:pt idx="10">
                  <c:v>8.3000000000000004E-2</c:v>
                </c:pt>
                <c:pt idx="11">
                  <c:v>7.9299999999999995E-2</c:v>
                </c:pt>
                <c:pt idx="12">
                  <c:v>7.5600000000000001E-2</c:v>
                </c:pt>
                <c:pt idx="13">
                  <c:v>7.1900000000000006E-2</c:v>
                </c:pt>
                <c:pt idx="14">
                  <c:v>6.8199999999999983E-2</c:v>
                </c:pt>
                <c:pt idx="15">
                  <c:v>6.4499999999999988E-2</c:v>
                </c:pt>
                <c:pt idx="16">
                  <c:v>6.0799999999999993E-2</c:v>
                </c:pt>
                <c:pt idx="17">
                  <c:v>5.7099999999999998E-2</c:v>
                </c:pt>
                <c:pt idx="18">
                  <c:v>5.340000000000001E-2</c:v>
                </c:pt>
                <c:pt idx="19">
                  <c:v>4.9699999999999994E-2</c:v>
                </c:pt>
                <c:pt idx="20">
                  <c:v>4.600000000000002E-2</c:v>
                </c:pt>
                <c:pt idx="21">
                  <c:v>4.2300000000000025E-2</c:v>
                </c:pt>
                <c:pt idx="22">
                  <c:v>3.8600000000000002E-2</c:v>
                </c:pt>
                <c:pt idx="23">
                  <c:v>3.49E-2</c:v>
                </c:pt>
                <c:pt idx="24">
                  <c:v>3.1200000000000012E-2</c:v>
                </c:pt>
                <c:pt idx="25">
                  <c:v>2.75E-2</c:v>
                </c:pt>
                <c:pt idx="26">
                  <c:v>2.3799999999999991E-2</c:v>
                </c:pt>
                <c:pt idx="27">
                  <c:v>2.0099999999999996E-2</c:v>
                </c:pt>
                <c:pt idx="28">
                  <c:v>1.6400000000000064E-2</c:v>
                </c:pt>
                <c:pt idx="29">
                  <c:v>1.2699999999999987E-2</c:v>
                </c:pt>
                <c:pt idx="30">
                  <c:v>8.9999999999999716E-3</c:v>
                </c:pt>
                <c:pt idx="31">
                  <c:v>5.3000000000001362E-3</c:v>
                </c:pt>
                <c:pt idx="32">
                  <c:v>1.6000000000001278E-3</c:v>
                </c:pt>
                <c:pt idx="33">
                  <c:v>2.1000000000003728E-3</c:v>
                </c:pt>
                <c:pt idx="34">
                  <c:v>5.7999999999999753E-3</c:v>
                </c:pt>
                <c:pt idx="35">
                  <c:v>9.5000000000000032E-3</c:v>
                </c:pt>
                <c:pt idx="36">
                  <c:v>1.3199999999999967E-2</c:v>
                </c:pt>
                <c:pt idx="37">
                  <c:v>1.6900000000000012E-2</c:v>
                </c:pt>
                <c:pt idx="38">
                  <c:v>2.0600000000000052E-2</c:v>
                </c:pt>
                <c:pt idx="39">
                  <c:v>2.4300000000000016E-2</c:v>
                </c:pt>
                <c:pt idx="40">
                  <c:v>2.8000000000000032E-2</c:v>
                </c:pt>
                <c:pt idx="41">
                  <c:v>3.170000000000002E-2</c:v>
                </c:pt>
                <c:pt idx="42">
                  <c:v>3.5399999999999994E-2</c:v>
                </c:pt>
                <c:pt idx="43">
                  <c:v>3.9099999999999982E-2</c:v>
                </c:pt>
                <c:pt idx="44">
                  <c:v>4.2799999999999977E-2</c:v>
                </c:pt>
                <c:pt idx="45">
                  <c:v>4.6499999999999993E-2</c:v>
                </c:pt>
                <c:pt idx="46">
                  <c:v>5.0199999999999995E-2</c:v>
                </c:pt>
                <c:pt idx="47">
                  <c:v>5.3900000000000017E-2</c:v>
                </c:pt>
                <c:pt idx="48">
                  <c:v>5.7600000000000012E-2</c:v>
                </c:pt>
                <c:pt idx="49">
                  <c:v>6.129999999999998E-2</c:v>
                </c:pt>
                <c:pt idx="50">
                  <c:v>6.5000000000000002E-2</c:v>
                </c:pt>
                <c:pt idx="51">
                  <c:v>6.8699999999999983E-2</c:v>
                </c:pt>
                <c:pt idx="52">
                  <c:v>7.240000000000002E-2</c:v>
                </c:pt>
                <c:pt idx="53">
                  <c:v>7.6100000000000015E-2</c:v>
                </c:pt>
                <c:pt idx="54">
                  <c:v>7.9799999999999996E-2</c:v>
                </c:pt>
                <c:pt idx="55">
                  <c:v>8.3500000000000019E-2</c:v>
                </c:pt>
                <c:pt idx="56">
                  <c:v>8.7200000000000027E-2</c:v>
                </c:pt>
                <c:pt idx="57">
                  <c:v>9.0900000000000022E-2</c:v>
                </c:pt>
                <c:pt idx="58">
                  <c:v>9.459999999999999E-2</c:v>
                </c:pt>
                <c:pt idx="59">
                  <c:v>9.8299999999999998E-2</c:v>
                </c:pt>
                <c:pt idx="60">
                  <c:v>0.10199999999999999</c:v>
                </c:pt>
                <c:pt idx="61">
                  <c:v>0.10569999999999999</c:v>
                </c:pt>
                <c:pt idx="62">
                  <c:v>0.1094</c:v>
                </c:pt>
                <c:pt idx="63">
                  <c:v>0.11310000000000001</c:v>
                </c:pt>
                <c:pt idx="64">
                  <c:v>0.11680000000000001</c:v>
                </c:pt>
                <c:pt idx="65">
                  <c:v>0.12050000000000001</c:v>
                </c:pt>
                <c:pt idx="66">
                  <c:v>0.1242</c:v>
                </c:pt>
                <c:pt idx="67">
                  <c:v>0.12790000000000001</c:v>
                </c:pt>
                <c:pt idx="68">
                  <c:v>0.13160000000000002</c:v>
                </c:pt>
                <c:pt idx="69">
                  <c:v>0.13530000000000003</c:v>
                </c:pt>
                <c:pt idx="70">
                  <c:v>0.13900000000000004</c:v>
                </c:pt>
                <c:pt idx="71">
                  <c:v>0.14270000000000002</c:v>
                </c:pt>
                <c:pt idx="72">
                  <c:v>0.1464</c:v>
                </c:pt>
                <c:pt idx="73">
                  <c:v>0.15009999999999998</c:v>
                </c:pt>
                <c:pt idx="74">
                  <c:v>0.15379999999999999</c:v>
                </c:pt>
                <c:pt idx="75">
                  <c:v>0.1575</c:v>
                </c:pt>
                <c:pt idx="76">
                  <c:v>0.16119999999999998</c:v>
                </c:pt>
                <c:pt idx="77">
                  <c:v>0.16490000000000002</c:v>
                </c:pt>
                <c:pt idx="78">
                  <c:v>0.1686</c:v>
                </c:pt>
                <c:pt idx="79">
                  <c:v>0.17230000000000001</c:v>
                </c:pt>
                <c:pt idx="80">
                  <c:v>0.17600000000000002</c:v>
                </c:pt>
                <c:pt idx="81">
                  <c:v>0.17970000000000003</c:v>
                </c:pt>
                <c:pt idx="82">
                  <c:v>0.18340000000000004</c:v>
                </c:pt>
                <c:pt idx="83">
                  <c:v>0.18710000000000002</c:v>
                </c:pt>
                <c:pt idx="84">
                  <c:v>0.1908</c:v>
                </c:pt>
                <c:pt idx="85">
                  <c:v>0.19449999999999998</c:v>
                </c:pt>
                <c:pt idx="86">
                  <c:v>0.19819999999999999</c:v>
                </c:pt>
                <c:pt idx="87">
                  <c:v>0.2019</c:v>
                </c:pt>
                <c:pt idx="88">
                  <c:v>0.20559999999999998</c:v>
                </c:pt>
                <c:pt idx="89">
                  <c:v>0.20930000000000001</c:v>
                </c:pt>
                <c:pt idx="90">
                  <c:v>0.21300000000000002</c:v>
                </c:pt>
                <c:pt idx="91">
                  <c:v>0.2167</c:v>
                </c:pt>
                <c:pt idx="92">
                  <c:v>0.22040000000000001</c:v>
                </c:pt>
                <c:pt idx="93">
                  <c:v>0.22410000000000002</c:v>
                </c:pt>
                <c:pt idx="94">
                  <c:v>0.22780000000000003</c:v>
                </c:pt>
                <c:pt idx="95">
                  <c:v>0.23150000000000001</c:v>
                </c:pt>
                <c:pt idx="96">
                  <c:v>0.23519999999999999</c:v>
                </c:pt>
                <c:pt idx="97">
                  <c:v>0.23889999999999997</c:v>
                </c:pt>
                <c:pt idx="98">
                  <c:v>0.24259999999999998</c:v>
                </c:pt>
                <c:pt idx="99">
                  <c:v>0.24629999999999999</c:v>
                </c:pt>
                <c:pt idx="100">
                  <c:v>0.25</c:v>
                </c:pt>
              </c:numCache>
            </c:numRef>
          </c:xVal>
          <c:yVal>
            <c:numRef>
              <c:f>'Correlation Demonstration'!$D$3:$D$103</c:f>
              <c:numCache>
                <c:formatCode>0.00%</c:formatCode>
                <c:ptCount val="101"/>
                <c:pt idx="0">
                  <c:v>0.08</c:v>
                </c:pt>
                <c:pt idx="1">
                  <c:v>8.0700000000000008E-2</c:v>
                </c:pt>
                <c:pt idx="2">
                  <c:v>8.14E-2</c:v>
                </c:pt>
                <c:pt idx="3">
                  <c:v>8.2100000000000006E-2</c:v>
                </c:pt>
                <c:pt idx="4">
                  <c:v>8.2799999999999999E-2</c:v>
                </c:pt>
                <c:pt idx="5">
                  <c:v>8.3499999999999991E-2</c:v>
                </c:pt>
                <c:pt idx="6">
                  <c:v>8.4199999999999997E-2</c:v>
                </c:pt>
                <c:pt idx="7">
                  <c:v>8.4899999999999989E-2</c:v>
                </c:pt>
                <c:pt idx="8">
                  <c:v>8.5599999999999996E-2</c:v>
                </c:pt>
                <c:pt idx="9">
                  <c:v>8.6300000000000002E-2</c:v>
                </c:pt>
                <c:pt idx="10">
                  <c:v>8.7000000000000008E-2</c:v>
                </c:pt>
                <c:pt idx="11">
                  <c:v>8.77E-2</c:v>
                </c:pt>
                <c:pt idx="12">
                  <c:v>8.8400000000000006E-2</c:v>
                </c:pt>
                <c:pt idx="13">
                  <c:v>8.9099999999999999E-2</c:v>
                </c:pt>
                <c:pt idx="14">
                  <c:v>8.9800000000000005E-2</c:v>
                </c:pt>
                <c:pt idx="15">
                  <c:v>9.0499999999999997E-2</c:v>
                </c:pt>
                <c:pt idx="16">
                  <c:v>9.1200000000000003E-2</c:v>
                </c:pt>
                <c:pt idx="17">
                  <c:v>9.1900000000000009E-2</c:v>
                </c:pt>
                <c:pt idx="18">
                  <c:v>9.2600000000000002E-2</c:v>
                </c:pt>
                <c:pt idx="19">
                  <c:v>9.3300000000000008E-2</c:v>
                </c:pt>
                <c:pt idx="20">
                  <c:v>9.4E-2</c:v>
                </c:pt>
                <c:pt idx="21">
                  <c:v>9.4700000000000006E-2</c:v>
                </c:pt>
                <c:pt idx="22">
                  <c:v>9.5400000000000013E-2</c:v>
                </c:pt>
                <c:pt idx="23">
                  <c:v>9.6100000000000005E-2</c:v>
                </c:pt>
                <c:pt idx="24">
                  <c:v>9.6799999999999997E-2</c:v>
                </c:pt>
                <c:pt idx="25">
                  <c:v>9.7500000000000003E-2</c:v>
                </c:pt>
                <c:pt idx="26">
                  <c:v>9.820000000000001E-2</c:v>
                </c:pt>
                <c:pt idx="27">
                  <c:v>9.8900000000000002E-2</c:v>
                </c:pt>
                <c:pt idx="28">
                  <c:v>9.9599999999999994E-2</c:v>
                </c:pt>
                <c:pt idx="29">
                  <c:v>0.1003</c:v>
                </c:pt>
                <c:pt idx="30">
                  <c:v>0.10099999999999999</c:v>
                </c:pt>
                <c:pt idx="31">
                  <c:v>0.1017</c:v>
                </c:pt>
                <c:pt idx="32">
                  <c:v>0.10239999999999999</c:v>
                </c:pt>
                <c:pt idx="33">
                  <c:v>0.1031</c:v>
                </c:pt>
                <c:pt idx="34">
                  <c:v>0.1038</c:v>
                </c:pt>
                <c:pt idx="35">
                  <c:v>0.1045</c:v>
                </c:pt>
                <c:pt idx="36">
                  <c:v>0.1052</c:v>
                </c:pt>
                <c:pt idx="37">
                  <c:v>0.10589999999999999</c:v>
                </c:pt>
                <c:pt idx="38">
                  <c:v>0.1066</c:v>
                </c:pt>
                <c:pt idx="39">
                  <c:v>0.10730000000000001</c:v>
                </c:pt>
                <c:pt idx="40">
                  <c:v>0.108</c:v>
                </c:pt>
                <c:pt idx="41">
                  <c:v>0.10869999999999999</c:v>
                </c:pt>
                <c:pt idx="42">
                  <c:v>0.1094</c:v>
                </c:pt>
                <c:pt idx="43">
                  <c:v>0.1101</c:v>
                </c:pt>
                <c:pt idx="44">
                  <c:v>0.11080000000000001</c:v>
                </c:pt>
                <c:pt idx="45">
                  <c:v>0.11150000000000002</c:v>
                </c:pt>
                <c:pt idx="46">
                  <c:v>0.11220000000000001</c:v>
                </c:pt>
                <c:pt idx="47">
                  <c:v>0.1129</c:v>
                </c:pt>
                <c:pt idx="48">
                  <c:v>0.11360000000000001</c:v>
                </c:pt>
                <c:pt idx="49">
                  <c:v>0.1143</c:v>
                </c:pt>
                <c:pt idx="50">
                  <c:v>0.11499999999999999</c:v>
                </c:pt>
                <c:pt idx="51">
                  <c:v>0.1157</c:v>
                </c:pt>
                <c:pt idx="52">
                  <c:v>0.1164</c:v>
                </c:pt>
                <c:pt idx="53">
                  <c:v>0.11710000000000001</c:v>
                </c:pt>
                <c:pt idx="54">
                  <c:v>0.1178</c:v>
                </c:pt>
                <c:pt idx="55">
                  <c:v>0.11849999999999999</c:v>
                </c:pt>
                <c:pt idx="56">
                  <c:v>0.1192</c:v>
                </c:pt>
                <c:pt idx="57">
                  <c:v>0.11990000000000001</c:v>
                </c:pt>
                <c:pt idx="58">
                  <c:v>0.1206</c:v>
                </c:pt>
                <c:pt idx="59">
                  <c:v>0.12129999999999999</c:v>
                </c:pt>
                <c:pt idx="60">
                  <c:v>0.122</c:v>
                </c:pt>
                <c:pt idx="61">
                  <c:v>0.1227</c:v>
                </c:pt>
                <c:pt idx="62">
                  <c:v>0.1234</c:v>
                </c:pt>
                <c:pt idx="63">
                  <c:v>0.1241</c:v>
                </c:pt>
                <c:pt idx="64">
                  <c:v>0.12479999999999999</c:v>
                </c:pt>
                <c:pt idx="65">
                  <c:v>0.1255</c:v>
                </c:pt>
                <c:pt idx="66">
                  <c:v>0.12620000000000001</c:v>
                </c:pt>
                <c:pt idx="67">
                  <c:v>0.12690000000000001</c:v>
                </c:pt>
                <c:pt idx="68">
                  <c:v>0.12759999999999999</c:v>
                </c:pt>
                <c:pt idx="69">
                  <c:v>0.1283</c:v>
                </c:pt>
                <c:pt idx="70">
                  <c:v>0.129</c:v>
                </c:pt>
                <c:pt idx="71">
                  <c:v>0.12970000000000001</c:v>
                </c:pt>
                <c:pt idx="72">
                  <c:v>0.13040000000000002</c:v>
                </c:pt>
                <c:pt idx="73">
                  <c:v>0.13109999999999999</c:v>
                </c:pt>
                <c:pt idx="74">
                  <c:v>0.1318</c:v>
                </c:pt>
                <c:pt idx="75">
                  <c:v>0.13249999999999998</c:v>
                </c:pt>
                <c:pt idx="76">
                  <c:v>0.13319999999999999</c:v>
                </c:pt>
                <c:pt idx="77">
                  <c:v>0.13389999999999999</c:v>
                </c:pt>
                <c:pt idx="78">
                  <c:v>0.1346</c:v>
                </c:pt>
                <c:pt idx="79">
                  <c:v>0.1353</c:v>
                </c:pt>
                <c:pt idx="80">
                  <c:v>0.13599999999999998</c:v>
                </c:pt>
                <c:pt idx="81">
                  <c:v>0.13669999999999999</c:v>
                </c:pt>
                <c:pt idx="82">
                  <c:v>0.13739999999999999</c:v>
                </c:pt>
                <c:pt idx="83">
                  <c:v>0.1381</c:v>
                </c:pt>
                <c:pt idx="84">
                  <c:v>0.13880000000000001</c:v>
                </c:pt>
                <c:pt idx="85">
                  <c:v>0.13950000000000001</c:v>
                </c:pt>
                <c:pt idx="86">
                  <c:v>0.14019999999999999</c:v>
                </c:pt>
                <c:pt idx="87">
                  <c:v>0.1409</c:v>
                </c:pt>
                <c:pt idx="88">
                  <c:v>0.1416</c:v>
                </c:pt>
                <c:pt idx="89">
                  <c:v>0.14230000000000001</c:v>
                </c:pt>
                <c:pt idx="90">
                  <c:v>0.14300000000000002</c:v>
                </c:pt>
                <c:pt idx="91">
                  <c:v>0.14369999999999999</c:v>
                </c:pt>
                <c:pt idx="92">
                  <c:v>0.1444</c:v>
                </c:pt>
                <c:pt idx="93">
                  <c:v>0.14510000000000001</c:v>
                </c:pt>
                <c:pt idx="94">
                  <c:v>0.14580000000000001</c:v>
                </c:pt>
                <c:pt idx="95">
                  <c:v>0.14650000000000002</c:v>
                </c:pt>
                <c:pt idx="96">
                  <c:v>0.1472</c:v>
                </c:pt>
                <c:pt idx="97">
                  <c:v>0.1479</c:v>
                </c:pt>
                <c:pt idx="98">
                  <c:v>0.14859999999999998</c:v>
                </c:pt>
                <c:pt idx="99">
                  <c:v>0.14929999999999999</c:v>
                </c:pt>
                <c:pt idx="100">
                  <c:v>0.15</c:v>
                </c:pt>
              </c:numCache>
            </c:numRef>
          </c:yVal>
          <c:smooth val="1"/>
          <c:extLst>
            <c:ext xmlns:c16="http://schemas.microsoft.com/office/drawing/2014/chart" uri="{C3380CC4-5D6E-409C-BE32-E72D297353CC}">
              <c16:uniqueId val="{00000004-FE01-475E-86B3-FC00A0D7E240}"/>
            </c:ext>
          </c:extLst>
        </c:ser>
        <c:dLbls>
          <c:showLegendKey val="0"/>
          <c:showVal val="0"/>
          <c:showCatName val="0"/>
          <c:showSerName val="0"/>
          <c:showPercent val="0"/>
          <c:showBubbleSize val="0"/>
        </c:dLbls>
        <c:axId val="74218701"/>
        <c:axId val="7417381"/>
      </c:scatterChart>
      <c:valAx>
        <c:axId val="74218701"/>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Portfolio Standard Deviation </a:t>
                </a:r>
                <a:r>
                  <a:rPr lang="el-GR" sz="1000" b="1" strike="noStrike" spc="-1">
                    <a:solidFill>
                      <a:srgbClr val="000000"/>
                    </a:solidFill>
                    <a:latin typeface="Calibri"/>
                  </a:rPr>
                  <a:t>σ</a:t>
                </a:r>
                <a:r>
                  <a:rPr lang="en-IN" sz="1000" b="1" strike="noStrike" spc="-1">
                    <a:solidFill>
                      <a:srgbClr val="000000"/>
                    </a:solidFill>
                    <a:latin typeface="Calibri"/>
                  </a:rPr>
                  <a:t>p</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417381"/>
        <c:crosses val="autoZero"/>
        <c:crossBetween val="midCat"/>
      </c:valAx>
      <c:valAx>
        <c:axId val="741738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Expected Portfolio Return E(Rp)</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4218701"/>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Capital Market Line (CML)</a:t>
            </a:r>
          </a:p>
        </c:rich>
      </c:tx>
      <c:overlay val="0"/>
      <c:spPr>
        <a:noFill/>
        <a:ln w="0">
          <a:noFill/>
        </a:ln>
      </c:spPr>
    </c:title>
    <c:autoTitleDeleted val="0"/>
    <c:plotArea>
      <c:layout/>
      <c:scatterChart>
        <c:scatterStyle val="lineMarker"/>
        <c:varyColors val="0"/>
        <c:ser>
          <c:idx val="0"/>
          <c:order val="0"/>
          <c:tx>
            <c:v>Capital Market Line (CML)</c:v>
          </c:tx>
          <c:spPr>
            <a:ln w="24840">
              <a:solidFill>
                <a:srgbClr val="1F386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'Capital Market Line'!$I$16:$I$31</c:f>
              <c:numCache>
                <c:formatCode>0.00%</c:formatCode>
                <c:ptCount val="16"/>
                <c:pt idx="0">
                  <c:v>0</c:v>
                </c:pt>
                <c:pt idx="1">
                  <c:v>1.6210259097250729E-2</c:v>
                </c:pt>
                <c:pt idx="2">
                  <c:v>3.2420518194501459E-2</c:v>
                </c:pt>
                <c:pt idx="3">
                  <c:v>4.8630777291752192E-2</c:v>
                </c:pt>
                <c:pt idx="4">
                  <c:v>6.4841036389002918E-2</c:v>
                </c:pt>
                <c:pt idx="5">
                  <c:v>8.1051295486253644E-2</c:v>
                </c:pt>
                <c:pt idx="6">
                  <c:v>9.726155458350437E-2</c:v>
                </c:pt>
                <c:pt idx="7">
                  <c:v>0.1134718136807551</c:v>
                </c:pt>
                <c:pt idx="8">
                  <c:v>0.12968207277800581</c:v>
                </c:pt>
                <c:pt idx="9">
                  <c:v>0.14589233187525655</c:v>
                </c:pt>
                <c:pt idx="10">
                  <c:v>0.16210259097250726</c:v>
                </c:pt>
                <c:pt idx="11">
                  <c:v>0.178312850069758</c:v>
                </c:pt>
                <c:pt idx="12">
                  <c:v>0.19452310916700874</c:v>
                </c:pt>
                <c:pt idx="13">
                  <c:v>0.21073336826425948</c:v>
                </c:pt>
                <c:pt idx="14">
                  <c:v>0.22694362736151022</c:v>
                </c:pt>
                <c:pt idx="15">
                  <c:v>0.24315388645876096</c:v>
                </c:pt>
              </c:numCache>
            </c:numRef>
          </c:xVal>
          <c:yVal>
            <c:numRef>
              <c:f>'Capital Market Line'!$H$16:$H$31</c:f>
              <c:numCache>
                <c:formatCode>0.00%</c:formatCode>
                <c:ptCount val="16"/>
                <c:pt idx="0">
                  <c:v>0.05</c:v>
                </c:pt>
                <c:pt idx="1">
                  <c:v>5.6850000000000005E-2</c:v>
                </c:pt>
                <c:pt idx="2">
                  <c:v>6.3700000000000007E-2</c:v>
                </c:pt>
                <c:pt idx="3">
                  <c:v>7.0550000000000002E-2</c:v>
                </c:pt>
                <c:pt idx="4">
                  <c:v>7.7399999999999997E-2</c:v>
                </c:pt>
                <c:pt idx="5">
                  <c:v>8.4249999999999992E-2</c:v>
                </c:pt>
                <c:pt idx="6">
                  <c:v>9.1099999999999987E-2</c:v>
                </c:pt>
                <c:pt idx="7">
                  <c:v>9.7949999999999995E-2</c:v>
                </c:pt>
                <c:pt idx="8">
                  <c:v>0.10479999999999999</c:v>
                </c:pt>
                <c:pt idx="9">
                  <c:v>0.11165</c:v>
                </c:pt>
                <c:pt idx="10">
                  <c:v>0.11849999999999998</c:v>
                </c:pt>
                <c:pt idx="11">
                  <c:v>0.12534999999999999</c:v>
                </c:pt>
                <c:pt idx="12">
                  <c:v>0.13219999999999998</c:v>
                </c:pt>
                <c:pt idx="13">
                  <c:v>0.13905000000000001</c:v>
                </c:pt>
                <c:pt idx="14">
                  <c:v>0.1459</c:v>
                </c:pt>
                <c:pt idx="15">
                  <c:v>0.15275</c:v>
                </c:pt>
              </c:numCache>
            </c:numRef>
          </c:yVal>
          <c:smooth val="1"/>
          <c:extLst>
            <c:ext xmlns:c16="http://schemas.microsoft.com/office/drawing/2014/chart" uri="{C3380CC4-5D6E-409C-BE32-E72D297353CC}">
              <c16:uniqueId val="{00000000-A5A3-4B36-805E-BCAB414E3D76}"/>
            </c:ext>
          </c:extLst>
        </c:ser>
        <c:ser>
          <c:idx val="1"/>
          <c:order val="1"/>
          <c:tx>
            <c:v>Tangency Portfolio</c:v>
          </c:tx>
          <c:spPr>
            <a:ln w="28440">
              <a:solidFill>
                <a:srgbClr val="FF0000"/>
              </a:solidFill>
              <a:round/>
            </a:ln>
          </c:spPr>
          <c:marker>
            <c:symbol val="diamond"/>
            <c:size val="10"/>
            <c:spPr>
              <a:solidFill>
                <a:srgbClr val="FF0000"/>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'Capital Market Line'!$D$8</c:f>
              <c:numCache>
                <c:formatCode>0.00%</c:formatCode>
                <c:ptCount val="1"/>
                <c:pt idx="0">
                  <c:v>0.16210259097250729</c:v>
                </c:pt>
              </c:numCache>
            </c:numRef>
          </c:xVal>
          <c:yVal>
            <c:numRef>
              <c:f>'Capital Market Line'!$D$7</c:f>
              <c:numCache>
                <c:formatCode>0.00%</c:formatCode>
                <c:ptCount val="1"/>
                <c:pt idx="0">
                  <c:v>0.11849999999999999</c:v>
                </c:pt>
              </c:numCache>
            </c:numRef>
          </c:yVal>
          <c:smooth val="1"/>
          <c:extLst>
            <c:ext xmlns:c16="http://schemas.microsoft.com/office/drawing/2014/chart" uri="{C3380CC4-5D6E-409C-BE32-E72D297353CC}">
              <c16:uniqueId val="{00000001-A5A3-4B36-805E-BCAB414E3D76}"/>
            </c:ext>
          </c:extLst>
        </c:ser>
        <c:ser>
          <c:idx val="2"/>
          <c:order val="2"/>
          <c:tx>
            <c:v>Risk-Free Asset (σ=0)</c:v>
          </c:tx>
          <c:spPr>
            <a:ln w="28440">
              <a:solidFill>
                <a:srgbClr val="70AD47"/>
              </a:solidFill>
              <a:round/>
            </a:ln>
          </c:spPr>
          <c:marker>
            <c:symbol val="circle"/>
            <c:size val="9"/>
            <c:spPr>
              <a:solidFill>
                <a:srgbClr val="70AD47"/>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'Capital Market Line'!$J$33</c:f>
              <c:numCache>
                <c:formatCode>0.00%</c:formatCode>
                <c:ptCount val="1"/>
                <c:pt idx="0">
                  <c:v>0</c:v>
                </c:pt>
              </c:numCache>
            </c:numRef>
          </c:xVal>
          <c:yVal>
            <c:numRef>
              <c:f>'Capital Market Line'!$K$33</c:f>
              <c:numCache>
                <c:formatCode>0.00%</c:formatCode>
                <c:ptCount val="1"/>
                <c:pt idx="0">
                  <c:v>0.05</c:v>
                </c:pt>
              </c:numCache>
            </c:numRef>
          </c:yVal>
          <c:smooth val="1"/>
          <c:extLst>
            <c:ext xmlns:c16="http://schemas.microsoft.com/office/drawing/2014/chart" uri="{C3380CC4-5D6E-409C-BE32-E72D297353CC}">
              <c16:uniqueId val="{00000002-A5A3-4B36-805E-BCAB414E3D76}"/>
            </c:ext>
          </c:extLst>
        </c:ser>
        <c:dLbls>
          <c:showLegendKey val="0"/>
          <c:showVal val="0"/>
          <c:showCatName val="0"/>
          <c:showSerName val="0"/>
          <c:showPercent val="0"/>
          <c:showBubbleSize val="0"/>
        </c:dLbls>
        <c:axId val="9402944"/>
        <c:axId val="32624477"/>
      </c:scatterChart>
      <c:valAx>
        <c:axId val="9402944"/>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Portfolio Standard Deviation </a:t>
                </a:r>
                <a:r>
                  <a:rPr lang="el-GR" sz="1000" b="1" strike="noStrike" spc="-1">
                    <a:solidFill>
                      <a:srgbClr val="000000"/>
                    </a:solidFill>
                    <a:latin typeface="Calibri"/>
                  </a:rPr>
                  <a:t>σ</a:t>
                </a:r>
                <a:r>
                  <a:rPr lang="en-IN" sz="1000" b="1" strike="noStrike" spc="-1">
                    <a:solidFill>
                      <a:srgbClr val="000000"/>
                    </a:solidFill>
                    <a:latin typeface="Calibri"/>
                  </a:rPr>
                  <a:t>p</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2624477"/>
        <c:crosses val="autoZero"/>
        <c:crossBetween val="midCat"/>
      </c:valAx>
      <c:valAx>
        <c:axId val="3262447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Expected Portfolio Return E(Rp)</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402944"/>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Security Market Line (SML)</a:t>
            </a:r>
          </a:p>
        </c:rich>
      </c:tx>
      <c:overlay val="0"/>
      <c:spPr>
        <a:noFill/>
        <a:ln w="0">
          <a:noFill/>
        </a:ln>
      </c:spPr>
    </c:title>
    <c:autoTitleDeleted val="0"/>
    <c:plotArea>
      <c:layout/>
      <c:scatterChart>
        <c:scatterStyle val="lineMarker"/>
        <c:varyColors val="0"/>
        <c:ser>
          <c:idx val="0"/>
          <c:order val="0"/>
          <c:tx>
            <c:v>Security Market Line (CAPM)</c:v>
          </c:tx>
          <c:spPr>
            <a:ln w="24840">
              <a:solidFill>
                <a:srgbClr val="1F386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'Security Market Line'!$C$10:$C$30</c:f>
              <c:numCache>
                <c:formatCode>0.00</c:formatCode>
                <c:ptCount val="21"/>
                <c:pt idx="0">
                  <c:v>0</c:v>
                </c:pt>
                <c:pt idx="1">
                  <c:v>0.1</c:v>
                </c:pt>
                <c:pt idx="2">
                  <c:v>0.2</c:v>
                </c:pt>
                <c:pt idx="3">
                  <c:v>0.3</c:v>
                </c:pt>
                <c:pt idx="4">
                  <c:v>0.4</c:v>
                </c:pt>
                <c:pt idx="5">
                  <c:v>0.5</c:v>
                </c:pt>
                <c:pt idx="6">
                  <c:v>0.6</c:v>
                </c:pt>
                <c:pt idx="7">
                  <c:v>0.7</c:v>
                </c:pt>
                <c:pt idx="8">
                  <c:v>0.8</c:v>
                </c:pt>
                <c:pt idx="9">
                  <c:v>0.9</c:v>
                </c:pt>
                <c:pt idx="10">
                  <c:v>1</c:v>
                </c:pt>
                <c:pt idx="11">
                  <c:v>1.1000000000000001</c:v>
                </c:pt>
                <c:pt idx="12">
                  <c:v>1.2</c:v>
                </c:pt>
                <c:pt idx="13">
                  <c:v>1.3</c:v>
                </c:pt>
                <c:pt idx="14">
                  <c:v>1.4</c:v>
                </c:pt>
                <c:pt idx="15">
                  <c:v>1.5</c:v>
                </c:pt>
                <c:pt idx="16">
                  <c:v>1.6</c:v>
                </c:pt>
                <c:pt idx="17">
                  <c:v>1.7</c:v>
                </c:pt>
                <c:pt idx="18">
                  <c:v>1.8</c:v>
                </c:pt>
                <c:pt idx="19">
                  <c:v>1.9</c:v>
                </c:pt>
                <c:pt idx="20">
                  <c:v>2</c:v>
                </c:pt>
              </c:numCache>
            </c:numRef>
          </c:xVal>
          <c:yVal>
            <c:numRef>
              <c:f>'Security Market Line'!$D$10:$D$30</c:f>
              <c:numCache>
                <c:formatCode>0.00%</c:formatCode>
                <c:ptCount val="21"/>
                <c:pt idx="0">
                  <c:v>0.05</c:v>
                </c:pt>
                <c:pt idx="1">
                  <c:v>5.7000000000000002E-2</c:v>
                </c:pt>
                <c:pt idx="2">
                  <c:v>6.4000000000000001E-2</c:v>
                </c:pt>
                <c:pt idx="3">
                  <c:v>7.1000000000000008E-2</c:v>
                </c:pt>
                <c:pt idx="4">
                  <c:v>7.8E-2</c:v>
                </c:pt>
                <c:pt idx="5">
                  <c:v>8.4999999999999992E-2</c:v>
                </c:pt>
                <c:pt idx="6">
                  <c:v>9.1999999999999998E-2</c:v>
                </c:pt>
                <c:pt idx="7">
                  <c:v>9.9000000000000005E-2</c:v>
                </c:pt>
                <c:pt idx="8">
                  <c:v>0.106</c:v>
                </c:pt>
                <c:pt idx="9">
                  <c:v>0.113</c:v>
                </c:pt>
                <c:pt idx="10">
                  <c:v>0.12</c:v>
                </c:pt>
                <c:pt idx="11">
                  <c:v>0.127</c:v>
                </c:pt>
                <c:pt idx="12">
                  <c:v>0.13400000000000001</c:v>
                </c:pt>
                <c:pt idx="13">
                  <c:v>0.14100000000000001</c:v>
                </c:pt>
                <c:pt idx="14">
                  <c:v>0.14799999999999999</c:v>
                </c:pt>
                <c:pt idx="15">
                  <c:v>0.15499999999999997</c:v>
                </c:pt>
                <c:pt idx="16">
                  <c:v>0.16199999999999998</c:v>
                </c:pt>
                <c:pt idx="17">
                  <c:v>0.16899999999999998</c:v>
                </c:pt>
                <c:pt idx="18">
                  <c:v>0.17599999999999999</c:v>
                </c:pt>
                <c:pt idx="19">
                  <c:v>0.183</c:v>
                </c:pt>
                <c:pt idx="20">
                  <c:v>0.19</c:v>
                </c:pt>
              </c:numCache>
            </c:numRef>
          </c:yVal>
          <c:smooth val="1"/>
          <c:extLst>
            <c:ext xmlns:c16="http://schemas.microsoft.com/office/drawing/2014/chart" uri="{C3380CC4-5D6E-409C-BE32-E72D297353CC}">
              <c16:uniqueId val="{00000000-CDE9-4064-B775-058359EE6532}"/>
            </c:ext>
          </c:extLst>
        </c:ser>
        <c:ser>
          <c:idx val="1"/>
          <c:order val="1"/>
          <c:tx>
            <c:v>Security A</c:v>
          </c:tx>
          <c:spPr>
            <a:ln w="28440">
              <a:solidFill>
                <a:srgbClr val="70AD47"/>
              </a:solidFill>
              <a:round/>
            </a:ln>
          </c:spPr>
          <c:marker>
            <c:symbol val="circle"/>
            <c:size val="9"/>
            <c:spPr>
              <a:solidFill>
                <a:srgbClr val="70AD47"/>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'Security Market Line'!$D$37</c:f>
              <c:numCache>
                <c:formatCode>0.00</c:formatCode>
                <c:ptCount val="1"/>
                <c:pt idx="0">
                  <c:v>0.8</c:v>
                </c:pt>
              </c:numCache>
            </c:numRef>
          </c:xVal>
          <c:yVal>
            <c:numRef>
              <c:f>'Security Market Line'!$E$37</c:f>
              <c:numCache>
                <c:formatCode>0.00%</c:formatCode>
                <c:ptCount val="1"/>
                <c:pt idx="0">
                  <c:v>0.11</c:v>
                </c:pt>
              </c:numCache>
            </c:numRef>
          </c:yVal>
          <c:smooth val="1"/>
          <c:extLst>
            <c:ext xmlns:c16="http://schemas.microsoft.com/office/drawing/2014/chart" uri="{C3380CC4-5D6E-409C-BE32-E72D297353CC}">
              <c16:uniqueId val="{00000001-CDE9-4064-B775-058359EE6532}"/>
            </c:ext>
          </c:extLst>
        </c:ser>
        <c:ser>
          <c:idx val="2"/>
          <c:order val="2"/>
          <c:tx>
            <c:v>Security B</c:v>
          </c:tx>
          <c:spPr>
            <a:ln w="28440">
              <a:solidFill>
                <a:srgbClr val="4472C4"/>
              </a:solidFill>
              <a:round/>
            </a:ln>
          </c:spPr>
          <c:marker>
            <c:symbol val="circle"/>
            <c:size val="9"/>
            <c:spPr>
              <a:solidFill>
                <a:srgbClr val="4472C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'Security Market Line'!$D$38</c:f>
              <c:numCache>
                <c:formatCode>0.00</c:formatCode>
                <c:ptCount val="1"/>
                <c:pt idx="0">
                  <c:v>1.2</c:v>
                </c:pt>
              </c:numCache>
            </c:numRef>
          </c:xVal>
          <c:yVal>
            <c:numRef>
              <c:f>'Security Market Line'!$E$38</c:f>
              <c:numCache>
                <c:formatCode>0.00%</c:formatCode>
                <c:ptCount val="1"/>
                <c:pt idx="0">
                  <c:v>0.15</c:v>
                </c:pt>
              </c:numCache>
            </c:numRef>
          </c:yVal>
          <c:smooth val="1"/>
          <c:extLst>
            <c:ext xmlns:c16="http://schemas.microsoft.com/office/drawing/2014/chart" uri="{C3380CC4-5D6E-409C-BE32-E72D297353CC}">
              <c16:uniqueId val="{00000002-CDE9-4064-B775-058359EE6532}"/>
            </c:ext>
          </c:extLst>
        </c:ser>
        <c:ser>
          <c:idx val="3"/>
          <c:order val="3"/>
          <c:tx>
            <c:v>Security C</c:v>
          </c:tx>
          <c:spPr>
            <a:ln w="28440">
              <a:solidFill>
                <a:srgbClr val="C00000"/>
              </a:solidFill>
              <a:round/>
            </a:ln>
          </c:spPr>
          <c:marker>
            <c:symbol val="circle"/>
            <c:size val="9"/>
            <c:spPr>
              <a:solidFill>
                <a:srgbClr val="C00000"/>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'Security Market Line'!$D$39</c:f>
              <c:numCache>
                <c:formatCode>0.00</c:formatCode>
                <c:ptCount val="1"/>
                <c:pt idx="0">
                  <c:v>1.5</c:v>
                </c:pt>
              </c:numCache>
            </c:numRef>
          </c:xVal>
          <c:yVal>
            <c:numRef>
              <c:f>'Security Market Line'!$E$39</c:f>
              <c:numCache>
                <c:formatCode>0.00%</c:formatCode>
                <c:ptCount val="1"/>
                <c:pt idx="0">
                  <c:v>0.12</c:v>
                </c:pt>
              </c:numCache>
            </c:numRef>
          </c:yVal>
          <c:smooth val="1"/>
          <c:extLst>
            <c:ext xmlns:c16="http://schemas.microsoft.com/office/drawing/2014/chart" uri="{C3380CC4-5D6E-409C-BE32-E72D297353CC}">
              <c16:uniqueId val="{00000003-CDE9-4064-B775-058359EE6532}"/>
            </c:ext>
          </c:extLst>
        </c:ser>
        <c:ser>
          <c:idx val="4"/>
          <c:order val="4"/>
          <c:tx>
            <c:v>Market Portfolio (β=1)</c:v>
          </c:tx>
          <c:spPr>
            <a:ln w="28440">
              <a:solidFill>
                <a:srgbClr val="FF8C00"/>
              </a:solidFill>
              <a:round/>
            </a:ln>
          </c:spPr>
          <c:marker>
            <c:symbol val="diamond"/>
            <c:size val="10"/>
            <c:spPr>
              <a:solidFill>
                <a:srgbClr val="FF8C00"/>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'Security Market Line'!$C$32</c:f>
              <c:numCache>
                <c:formatCode>0.00</c:formatCode>
                <c:ptCount val="1"/>
                <c:pt idx="0">
                  <c:v>1</c:v>
                </c:pt>
              </c:numCache>
            </c:numRef>
          </c:xVal>
          <c:yVal>
            <c:numRef>
              <c:f>'Security Market Line'!$D$32</c:f>
              <c:numCache>
                <c:formatCode>0.00%</c:formatCode>
                <c:ptCount val="1"/>
                <c:pt idx="0">
                  <c:v>0.12</c:v>
                </c:pt>
              </c:numCache>
            </c:numRef>
          </c:yVal>
          <c:smooth val="1"/>
          <c:extLst>
            <c:ext xmlns:c16="http://schemas.microsoft.com/office/drawing/2014/chart" uri="{C3380CC4-5D6E-409C-BE32-E72D297353CC}">
              <c16:uniqueId val="{00000004-CDE9-4064-B775-058359EE6532}"/>
            </c:ext>
          </c:extLst>
        </c:ser>
        <c:dLbls>
          <c:showLegendKey val="0"/>
          <c:showVal val="0"/>
          <c:showCatName val="0"/>
          <c:showSerName val="0"/>
          <c:showPercent val="0"/>
          <c:showBubbleSize val="0"/>
        </c:dLbls>
        <c:axId val="36056109"/>
        <c:axId val="78185863"/>
      </c:scatterChart>
      <c:valAx>
        <c:axId val="36056109"/>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Beta  </a:t>
                </a:r>
                <a:r>
                  <a:rPr lang="el-GR" sz="1000" b="1" strike="noStrike" spc="-1">
                    <a:solidFill>
                      <a:srgbClr val="000000"/>
                    </a:solidFill>
                    <a:latin typeface="Calibri"/>
                  </a:rPr>
                  <a:t>β  (</a:t>
                </a:r>
                <a:r>
                  <a:rPr lang="en-IN" sz="1000" b="1" strike="noStrike" spc="-1">
                    <a:solidFill>
                      <a:srgbClr val="000000"/>
                    </a:solidFill>
                    <a:latin typeface="Calibri"/>
                  </a:rPr>
                  <a:t>Systematic Risk)</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8185863"/>
        <c:crosses val="autoZero"/>
        <c:crossBetween val="midCat"/>
      </c:valAx>
      <c:valAx>
        <c:axId val="7818586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Required Return  E(Ri)</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6056109"/>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Live Efficient Frontier</a:t>
            </a:r>
          </a:p>
        </c:rich>
      </c:tx>
      <c:overlay val="0"/>
      <c:spPr>
        <a:noFill/>
        <a:ln w="0">
          <a:noFill/>
        </a:ln>
      </c:spPr>
    </c:title>
    <c:autoTitleDeleted val="0"/>
    <c:plotArea>
      <c:layout/>
      <c:scatterChart>
        <c:scatterStyle val="lineMarker"/>
        <c:varyColors val="0"/>
        <c:ser>
          <c:idx val="0"/>
          <c:order val="0"/>
          <c:tx>
            <c:v>Opportunity Set</c:v>
          </c:tx>
          <c:spPr>
            <a:ln w="15120">
              <a:solidFill>
                <a:srgbClr val="A0A0A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'Two-Asset Frontier Calculations'!$L$3:$L$103</c:f>
              <c:numCache>
                <c:formatCode>0.00%</c:formatCode>
                <c:ptCount val="101"/>
                <c:pt idx="0">
                  <c:v>0.12</c:v>
                </c:pt>
                <c:pt idx="1">
                  <c:v>0.11957378475234444</c:v>
                </c:pt>
                <c:pt idx="2">
                  <c:v>0.1191954697125692</c:v>
                </c:pt>
                <c:pt idx="3">
                  <c:v>0.11886551223967362</c:v>
                </c:pt>
                <c:pt idx="4">
                  <c:v>0.1185843159949915</c:v>
                </c:pt>
                <c:pt idx="5">
                  <c:v>0.11835222853837607</c:v>
                </c:pt>
                <c:pt idx="6">
                  <c:v>0.11816953922225472</c:v>
                </c:pt>
                <c:pt idx="7">
                  <c:v>0.11803647741270491</c:v>
                </c:pt>
                <c:pt idx="8">
                  <c:v>0.11795321106269213</c:v>
                </c:pt>
                <c:pt idx="9">
                  <c:v>0.11791984565797227</c:v>
                </c:pt>
                <c:pt idx="10">
                  <c:v>0.11793642355099633</c:v>
                </c:pt>
                <c:pt idx="11">
                  <c:v>0.11800292369259331</c:v>
                </c:pt>
                <c:pt idx="12">
                  <c:v>0.11811926176538692</c:v>
                </c:pt>
                <c:pt idx="13">
                  <c:v>0.11828529071697799</c:v>
                </c:pt>
                <c:pt idx="14">
                  <c:v>0.11850080168505191</c:v>
                </c:pt>
                <c:pt idx="15">
                  <c:v>0.11876552530090539</c:v>
                </c:pt>
                <c:pt idx="16">
                  <c:v>0.11907913335257357</c:v>
                </c:pt>
                <c:pt idx="17">
                  <c:v>0.11944124078391015</c:v>
                </c:pt>
                <c:pt idx="18">
                  <c:v>0.1198514080017419</c:v>
                </c:pt>
                <c:pt idx="19">
                  <c:v>0.12030914345967227</c:v>
                </c:pt>
                <c:pt idx="20">
                  <c:v>0.12081390648431166</c:v>
                </c:pt>
                <c:pt idx="21">
                  <c:v>0.12136511030769923</c:v>
                </c:pt>
                <c:pt idx="22">
                  <c:v>0.12196212526846192</c:v>
                </c:pt>
                <c:pt idx="23">
                  <c:v>0.12260428214381421</c:v>
                </c:pt>
                <c:pt idx="24">
                  <c:v>0.1232908755747967</c:v>
                </c:pt>
                <c:pt idx="25">
                  <c:v>0.12402116754812462</c:v>
                </c:pt>
                <c:pt idx="26">
                  <c:v>0.12479439089959131</c:v>
                </c:pt>
                <c:pt idx="27">
                  <c:v>0.12560975280606199</c:v>
                </c:pt>
                <c:pt idx="28">
                  <c:v>0.12646643823560463</c:v>
                </c:pt>
                <c:pt idx="29">
                  <c:v>0.12736361332814014</c:v>
                </c:pt>
                <c:pt idx="30">
                  <c:v>0.12830042868205857</c:v>
                </c:pt>
                <c:pt idx="31">
                  <c:v>0.12927602252544745</c:v>
                </c:pt>
                <c:pt idx="32">
                  <c:v>0.13028952375383063</c:v>
                </c:pt>
                <c:pt idx="33">
                  <c:v>0.13134005481954086</c:v>
                </c:pt>
                <c:pt idx="34">
                  <c:v>0.1324267344609841</c:v>
                </c:pt>
                <c:pt idx="35">
                  <c:v>0.13354868026304115</c:v>
                </c:pt>
                <c:pt idx="36">
                  <c:v>0.13470501104264829</c:v>
                </c:pt>
                <c:pt idx="37">
                  <c:v>0.13589484905617283</c:v>
                </c:pt>
                <c:pt idx="38">
                  <c:v>0.13711732202752502</c:v>
                </c:pt>
                <c:pt idx="39">
                  <c:v>0.13837156499801539</c:v>
                </c:pt>
                <c:pt idx="40">
                  <c:v>0.13965672200076873</c:v>
                </c:pt>
                <c:pt idx="41">
                  <c:v>0.14097194756404552</c:v>
                </c:pt>
                <c:pt idx="42">
                  <c:v>0.14231640804910725</c:v>
                </c:pt>
                <c:pt idx="43">
                  <c:v>0.14368928282930499</c:v>
                </c:pt>
                <c:pt idx="44">
                  <c:v>0.14508976531788864</c:v>
                </c:pt>
                <c:pt idx="45">
                  <c:v>0.14651706385264482</c:v>
                </c:pt>
                <c:pt idx="46">
                  <c:v>0.14797040244589457</c:v>
                </c:pt>
                <c:pt idx="47">
                  <c:v>0.14944902140863955</c:v>
                </c:pt>
                <c:pt idx="48">
                  <c:v>0.1509521778577573</c:v>
                </c:pt>
                <c:pt idx="49">
                  <c:v>0.15247914611513275</c:v>
                </c:pt>
                <c:pt idx="50">
                  <c:v>0.15402921800749364</c:v>
                </c:pt>
                <c:pt idx="51">
                  <c:v>0.15560170307551263</c:v>
                </c:pt>
                <c:pt idx="52">
                  <c:v>0.15719592870045968</c:v>
                </c:pt>
                <c:pt idx="53">
                  <c:v>0.1588112401563567</c:v>
                </c:pt>
                <c:pt idx="54">
                  <c:v>0.16044700059521214</c:v>
                </c:pt>
                <c:pt idx="55">
                  <c:v>0.16210259097250729</c:v>
                </c:pt>
                <c:pt idx="56">
                  <c:v>0.16377740991968337</c:v>
                </c:pt>
                <c:pt idx="57">
                  <c:v>0.16547087356994283</c:v>
                </c:pt>
                <c:pt idx="58">
                  <c:v>0.16718241534324116</c:v>
                </c:pt>
                <c:pt idx="59">
                  <c:v>0.16891148569591116</c:v>
                </c:pt>
                <c:pt idx="60">
                  <c:v>0.1706575518399347</c:v>
                </c:pt>
                <c:pt idx="61">
                  <c:v>0.17242009743646475</c:v>
                </c:pt>
                <c:pt idx="62">
                  <c:v>0.17419862226780095</c:v>
                </c:pt>
                <c:pt idx="63">
                  <c:v>0.17599264189164274</c:v>
                </c:pt>
                <c:pt idx="64">
                  <c:v>0.17780168728108292</c:v>
                </c:pt>
                <c:pt idx="65">
                  <c:v>0.17962530445346503</c:v>
                </c:pt>
                <c:pt idx="66">
                  <c:v>0.18146305409090854</c:v>
                </c:pt>
                <c:pt idx="67">
                  <c:v>0.18331451115500924</c:v>
                </c:pt>
                <c:pt idx="68">
                  <c:v>0.18517926449794536</c:v>
                </c:pt>
                <c:pt idx="69">
                  <c:v>0.18705691647196585</c:v>
                </c:pt>
                <c:pt idx="70">
                  <c:v>0.18894708253900086</c:v>
                </c:pt>
                <c:pt idx="71">
                  <c:v>0.19084939088192029</c:v>
                </c:pt>
                <c:pt idx="72">
                  <c:v>0.19276348201876828</c:v>
                </c:pt>
                <c:pt idx="73">
                  <c:v>0.19468900842112272</c:v>
                </c:pt>
                <c:pt idx="74">
                  <c:v>0.19662563413756609</c:v>
                </c:pt>
                <c:pt idx="75">
                  <c:v>0.19857303442310589</c:v>
                </c:pt>
                <c:pt idx="76">
                  <c:v>0.20053089537525134</c:v>
                </c:pt>
                <c:pt idx="77">
                  <c:v>0.20249891357733255</c:v>
                </c:pt>
                <c:pt idx="78">
                  <c:v>0.2044767957495422</c:v>
                </c:pt>
                <c:pt idx="79">
                  <c:v>0.2064642584080838</c:v>
                </c:pt>
                <c:pt idx="80">
                  <c:v>0.20846102753272613</c:v>
                </c:pt>
                <c:pt idx="81">
                  <c:v>0.21046683824298784</c:v>
                </c:pt>
                <c:pt idx="82">
                  <c:v>0.21248143448310963</c:v>
                </c:pt>
                <c:pt idx="83">
                  <c:v>0.21450456871591339</c:v>
                </c:pt>
                <c:pt idx="84">
                  <c:v>0.21653600162559575</c:v>
                </c:pt>
                <c:pt idx="85">
                  <c:v>0.21857550182945937</c:v>
                </c:pt>
                <c:pt idx="86">
                  <c:v>0.22062284559854631</c:v>
                </c:pt>
                <c:pt idx="87">
                  <c:v>0.22267781658710414</c:v>
                </c:pt>
                <c:pt idx="88">
                  <c:v>0.22474020557078789</c:v>
                </c:pt>
                <c:pt idx="89">
                  <c:v>0.22680981019347465</c:v>
                </c:pt>
                <c:pt idx="90">
                  <c:v>0.22888643472254969</c:v>
                </c:pt>
                <c:pt idx="91">
                  <c:v>0.23096988981250349</c:v>
                </c:pt>
                <c:pt idx="92">
                  <c:v>0.23305999227666682</c:v>
                </c:pt>
                <c:pt idx="93">
                  <c:v>0.23515656486689884</c:v>
                </c:pt>
                <c:pt idx="94">
                  <c:v>0.23725943606103428</c:v>
                </c:pt>
                <c:pt idx="95">
                  <c:v>0.23936843985788939</c:v>
                </c:pt>
                <c:pt idx="96">
                  <c:v>0.24148341557962114</c:v>
                </c:pt>
                <c:pt idx="97">
                  <c:v>0.24360420768123031</c:v>
                </c:pt>
                <c:pt idx="98">
                  <c:v>0.24573066556699835</c:v>
                </c:pt>
                <c:pt idx="99">
                  <c:v>0.24786264341364553</c:v>
                </c:pt>
                <c:pt idx="100">
                  <c:v>0.25</c:v>
                </c:pt>
              </c:numCache>
            </c:numRef>
          </c:xVal>
          <c:yVal>
            <c:numRef>
              <c:f>'Two-Asset Frontier Calculations'!$M$3:$M$103</c:f>
              <c:numCache>
                <c:formatCode>0.00%</c:formatCode>
                <c:ptCount val="101"/>
                <c:pt idx="0">
                  <c:v>0.08</c:v>
                </c:pt>
                <c:pt idx="1">
                  <c:v>8.0700000000000008E-2</c:v>
                </c:pt>
                <c:pt idx="2">
                  <c:v>8.14E-2</c:v>
                </c:pt>
                <c:pt idx="3">
                  <c:v>8.2100000000000006E-2</c:v>
                </c:pt>
                <c:pt idx="4">
                  <c:v>8.2799999999999999E-2</c:v>
                </c:pt>
                <c:pt idx="5">
                  <c:v>8.3499999999999991E-2</c:v>
                </c:pt>
                <c:pt idx="6">
                  <c:v>8.4199999999999997E-2</c:v>
                </c:pt>
                <c:pt idx="7">
                  <c:v>8.4899999999999989E-2</c:v>
                </c:pt>
                <c:pt idx="8">
                  <c:v>8.5599999999999996E-2</c:v>
                </c:pt>
                <c:pt idx="9">
                  <c:v>8.6300000000000002E-2</c:v>
                </c:pt>
                <c:pt idx="10">
                  <c:v>8.7000000000000008E-2</c:v>
                </c:pt>
                <c:pt idx="11">
                  <c:v>8.77E-2</c:v>
                </c:pt>
                <c:pt idx="12">
                  <c:v>8.8400000000000006E-2</c:v>
                </c:pt>
                <c:pt idx="13">
                  <c:v>8.9099999999999999E-2</c:v>
                </c:pt>
                <c:pt idx="14">
                  <c:v>8.9800000000000005E-2</c:v>
                </c:pt>
                <c:pt idx="15">
                  <c:v>9.0499999999999997E-2</c:v>
                </c:pt>
                <c:pt idx="16">
                  <c:v>9.1200000000000003E-2</c:v>
                </c:pt>
                <c:pt idx="17">
                  <c:v>9.1900000000000009E-2</c:v>
                </c:pt>
                <c:pt idx="18">
                  <c:v>9.2600000000000002E-2</c:v>
                </c:pt>
                <c:pt idx="19">
                  <c:v>9.3300000000000008E-2</c:v>
                </c:pt>
                <c:pt idx="20">
                  <c:v>9.4E-2</c:v>
                </c:pt>
                <c:pt idx="21">
                  <c:v>9.4700000000000006E-2</c:v>
                </c:pt>
                <c:pt idx="22">
                  <c:v>9.5400000000000013E-2</c:v>
                </c:pt>
                <c:pt idx="23">
                  <c:v>9.6100000000000005E-2</c:v>
                </c:pt>
                <c:pt idx="24">
                  <c:v>9.6799999999999997E-2</c:v>
                </c:pt>
                <c:pt idx="25">
                  <c:v>9.7500000000000003E-2</c:v>
                </c:pt>
                <c:pt idx="26">
                  <c:v>9.820000000000001E-2</c:v>
                </c:pt>
                <c:pt idx="27">
                  <c:v>9.8900000000000002E-2</c:v>
                </c:pt>
                <c:pt idx="28">
                  <c:v>9.9599999999999994E-2</c:v>
                </c:pt>
                <c:pt idx="29">
                  <c:v>0.1003</c:v>
                </c:pt>
                <c:pt idx="30">
                  <c:v>0.10099999999999999</c:v>
                </c:pt>
                <c:pt idx="31">
                  <c:v>0.1017</c:v>
                </c:pt>
                <c:pt idx="32">
                  <c:v>0.10239999999999999</c:v>
                </c:pt>
                <c:pt idx="33">
                  <c:v>0.1031</c:v>
                </c:pt>
                <c:pt idx="34">
                  <c:v>0.1038</c:v>
                </c:pt>
                <c:pt idx="35">
                  <c:v>0.1045</c:v>
                </c:pt>
                <c:pt idx="36">
                  <c:v>0.1052</c:v>
                </c:pt>
                <c:pt idx="37">
                  <c:v>0.10589999999999999</c:v>
                </c:pt>
                <c:pt idx="38">
                  <c:v>0.1066</c:v>
                </c:pt>
                <c:pt idx="39">
                  <c:v>0.10730000000000001</c:v>
                </c:pt>
                <c:pt idx="40">
                  <c:v>0.108</c:v>
                </c:pt>
                <c:pt idx="41">
                  <c:v>0.10869999999999999</c:v>
                </c:pt>
                <c:pt idx="42">
                  <c:v>0.1094</c:v>
                </c:pt>
                <c:pt idx="43">
                  <c:v>0.1101</c:v>
                </c:pt>
                <c:pt idx="44">
                  <c:v>0.11080000000000001</c:v>
                </c:pt>
                <c:pt idx="45">
                  <c:v>0.11150000000000002</c:v>
                </c:pt>
                <c:pt idx="46">
                  <c:v>0.11220000000000001</c:v>
                </c:pt>
                <c:pt idx="47">
                  <c:v>0.1129</c:v>
                </c:pt>
                <c:pt idx="48">
                  <c:v>0.11360000000000001</c:v>
                </c:pt>
                <c:pt idx="49">
                  <c:v>0.1143</c:v>
                </c:pt>
                <c:pt idx="50">
                  <c:v>0.11499999999999999</c:v>
                </c:pt>
                <c:pt idx="51">
                  <c:v>0.1157</c:v>
                </c:pt>
                <c:pt idx="52">
                  <c:v>0.1164</c:v>
                </c:pt>
                <c:pt idx="53">
                  <c:v>0.11710000000000001</c:v>
                </c:pt>
                <c:pt idx="54">
                  <c:v>0.1178</c:v>
                </c:pt>
                <c:pt idx="55">
                  <c:v>0.11849999999999999</c:v>
                </c:pt>
                <c:pt idx="56">
                  <c:v>0.1192</c:v>
                </c:pt>
                <c:pt idx="57">
                  <c:v>0.11990000000000001</c:v>
                </c:pt>
                <c:pt idx="58">
                  <c:v>0.1206</c:v>
                </c:pt>
                <c:pt idx="59">
                  <c:v>0.12129999999999999</c:v>
                </c:pt>
                <c:pt idx="60">
                  <c:v>0.122</c:v>
                </c:pt>
                <c:pt idx="61">
                  <c:v>0.1227</c:v>
                </c:pt>
                <c:pt idx="62">
                  <c:v>0.1234</c:v>
                </c:pt>
                <c:pt idx="63">
                  <c:v>0.1241</c:v>
                </c:pt>
                <c:pt idx="64">
                  <c:v>0.12479999999999999</c:v>
                </c:pt>
                <c:pt idx="65">
                  <c:v>0.1255</c:v>
                </c:pt>
                <c:pt idx="66">
                  <c:v>0.12620000000000001</c:v>
                </c:pt>
                <c:pt idx="67">
                  <c:v>0.12690000000000001</c:v>
                </c:pt>
                <c:pt idx="68">
                  <c:v>0.12759999999999999</c:v>
                </c:pt>
                <c:pt idx="69">
                  <c:v>0.1283</c:v>
                </c:pt>
                <c:pt idx="70">
                  <c:v>0.129</c:v>
                </c:pt>
                <c:pt idx="71">
                  <c:v>0.12970000000000001</c:v>
                </c:pt>
                <c:pt idx="72">
                  <c:v>0.13040000000000002</c:v>
                </c:pt>
                <c:pt idx="73">
                  <c:v>0.13109999999999999</c:v>
                </c:pt>
                <c:pt idx="74">
                  <c:v>0.1318</c:v>
                </c:pt>
                <c:pt idx="75">
                  <c:v>0.13249999999999998</c:v>
                </c:pt>
                <c:pt idx="76">
                  <c:v>0.13319999999999999</c:v>
                </c:pt>
                <c:pt idx="77">
                  <c:v>0.13389999999999999</c:v>
                </c:pt>
                <c:pt idx="78">
                  <c:v>0.1346</c:v>
                </c:pt>
                <c:pt idx="79">
                  <c:v>0.1353</c:v>
                </c:pt>
                <c:pt idx="80">
                  <c:v>0.13599999999999998</c:v>
                </c:pt>
                <c:pt idx="81">
                  <c:v>0.13669999999999999</c:v>
                </c:pt>
                <c:pt idx="82">
                  <c:v>0.13739999999999999</c:v>
                </c:pt>
                <c:pt idx="83">
                  <c:v>0.1381</c:v>
                </c:pt>
                <c:pt idx="84">
                  <c:v>0.13880000000000001</c:v>
                </c:pt>
                <c:pt idx="85">
                  <c:v>0.13950000000000001</c:v>
                </c:pt>
                <c:pt idx="86">
                  <c:v>0.14019999999999999</c:v>
                </c:pt>
                <c:pt idx="87">
                  <c:v>0.1409</c:v>
                </c:pt>
                <c:pt idx="88">
                  <c:v>0.1416</c:v>
                </c:pt>
                <c:pt idx="89">
                  <c:v>0.14230000000000001</c:v>
                </c:pt>
                <c:pt idx="90">
                  <c:v>0.14300000000000002</c:v>
                </c:pt>
                <c:pt idx="91">
                  <c:v>0.14369999999999999</c:v>
                </c:pt>
                <c:pt idx="92">
                  <c:v>0.1444</c:v>
                </c:pt>
                <c:pt idx="93">
                  <c:v>0.14510000000000001</c:v>
                </c:pt>
                <c:pt idx="94">
                  <c:v>0.14580000000000001</c:v>
                </c:pt>
                <c:pt idx="95">
                  <c:v>0.14650000000000002</c:v>
                </c:pt>
                <c:pt idx="96">
                  <c:v>0.1472</c:v>
                </c:pt>
                <c:pt idx="97">
                  <c:v>0.1479</c:v>
                </c:pt>
                <c:pt idx="98">
                  <c:v>0.14859999999999998</c:v>
                </c:pt>
                <c:pt idx="99">
                  <c:v>0.14929999999999999</c:v>
                </c:pt>
                <c:pt idx="100">
                  <c:v>0.15</c:v>
                </c:pt>
              </c:numCache>
            </c:numRef>
          </c:yVal>
          <c:smooth val="1"/>
          <c:extLst>
            <c:ext xmlns:c16="http://schemas.microsoft.com/office/drawing/2014/chart" uri="{C3380CC4-5D6E-409C-BE32-E72D297353CC}">
              <c16:uniqueId val="{00000000-6608-431E-B17D-F65747F62364}"/>
            </c:ext>
          </c:extLst>
        </c:ser>
        <c:ser>
          <c:idx val="1"/>
          <c:order val="1"/>
          <c:tx>
            <c:v>Efficient Frontier</c:v>
          </c:tx>
          <c:spPr>
            <a:ln w="24840">
              <a:solidFill>
                <a:srgbClr val="1F386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'Two-Asset Frontier Calculations'!$J$3:$J$103</c:f>
              <c:numCache>
                <c:formatCode>0.00%</c:formatCode>
                <c:ptCount val="101"/>
                <c:pt idx="0">
                  <c:v>#N/A</c:v>
                </c:pt>
                <c:pt idx="1">
                  <c:v>#N/A</c:v>
                </c:pt>
                <c:pt idx="2">
                  <c:v>#N/A</c:v>
                </c:pt>
                <c:pt idx="3">
                  <c:v>#N/A</c:v>
                </c:pt>
                <c:pt idx="4">
                  <c:v>#N/A</c:v>
                </c:pt>
                <c:pt idx="5">
                  <c:v>#N/A</c:v>
                </c:pt>
                <c:pt idx="6">
                  <c:v>#N/A</c:v>
                </c:pt>
                <c:pt idx="7">
                  <c:v>#N/A</c:v>
                </c:pt>
                <c:pt idx="8">
                  <c:v>#N/A</c:v>
                </c:pt>
                <c:pt idx="9">
                  <c:v>0.11791984565797227</c:v>
                </c:pt>
                <c:pt idx="10">
                  <c:v>0.11793642355099633</c:v>
                </c:pt>
                <c:pt idx="11">
                  <c:v>0.11800292369259331</c:v>
                </c:pt>
                <c:pt idx="12">
                  <c:v>0.11811926176538692</c:v>
                </c:pt>
                <c:pt idx="13">
                  <c:v>0.11828529071697799</c:v>
                </c:pt>
                <c:pt idx="14">
                  <c:v>0.11850080168505191</c:v>
                </c:pt>
                <c:pt idx="15">
                  <c:v>0.11876552530090539</c:v>
                </c:pt>
                <c:pt idx="16">
                  <c:v>0.11907913335257357</c:v>
                </c:pt>
                <c:pt idx="17">
                  <c:v>0.11944124078391015</c:v>
                </c:pt>
                <c:pt idx="18">
                  <c:v>0.1198514080017419</c:v>
                </c:pt>
                <c:pt idx="19">
                  <c:v>0.12030914345967227</c:v>
                </c:pt>
                <c:pt idx="20">
                  <c:v>0.12081390648431166</c:v>
                </c:pt>
                <c:pt idx="21">
                  <c:v>0.12136511030769923</c:v>
                </c:pt>
                <c:pt idx="22">
                  <c:v>0.12196212526846192</c:v>
                </c:pt>
                <c:pt idx="23">
                  <c:v>0.12260428214381421</c:v>
                </c:pt>
                <c:pt idx="24">
                  <c:v>0.1232908755747967</c:v>
                </c:pt>
                <c:pt idx="25">
                  <c:v>0.12402116754812462</c:v>
                </c:pt>
                <c:pt idx="26">
                  <c:v>0.12479439089959131</c:v>
                </c:pt>
                <c:pt idx="27">
                  <c:v>0.12560975280606199</c:v>
                </c:pt>
                <c:pt idx="28">
                  <c:v>0.12646643823560463</c:v>
                </c:pt>
                <c:pt idx="29">
                  <c:v>0.12736361332814014</c:v>
                </c:pt>
                <c:pt idx="30">
                  <c:v>0.12830042868205857</c:v>
                </c:pt>
                <c:pt idx="31">
                  <c:v>0.12927602252544745</c:v>
                </c:pt>
                <c:pt idx="32">
                  <c:v>0.13028952375383063</c:v>
                </c:pt>
                <c:pt idx="33">
                  <c:v>0.13134005481954086</c:v>
                </c:pt>
                <c:pt idx="34">
                  <c:v>0.1324267344609841</c:v>
                </c:pt>
                <c:pt idx="35">
                  <c:v>0.13354868026304115</c:v>
                </c:pt>
                <c:pt idx="36">
                  <c:v>0.13470501104264829</c:v>
                </c:pt>
                <c:pt idx="37">
                  <c:v>0.13589484905617283</c:v>
                </c:pt>
                <c:pt idx="38">
                  <c:v>0.13711732202752502</c:v>
                </c:pt>
                <c:pt idx="39">
                  <c:v>0.13837156499801539</c:v>
                </c:pt>
                <c:pt idx="40">
                  <c:v>0.13965672200076873</c:v>
                </c:pt>
                <c:pt idx="41">
                  <c:v>0.14097194756404552</c:v>
                </c:pt>
                <c:pt idx="42">
                  <c:v>0.14231640804910725</c:v>
                </c:pt>
                <c:pt idx="43">
                  <c:v>0.14368928282930499</c:v>
                </c:pt>
                <c:pt idx="44">
                  <c:v>0.14508976531788864</c:v>
                </c:pt>
                <c:pt idx="45">
                  <c:v>0.14651706385264482</c:v>
                </c:pt>
                <c:pt idx="46">
                  <c:v>0.14797040244589457</c:v>
                </c:pt>
                <c:pt idx="47">
                  <c:v>0.14944902140863955</c:v>
                </c:pt>
                <c:pt idx="48">
                  <c:v>0.1509521778577573</c:v>
                </c:pt>
                <c:pt idx="49">
                  <c:v>0.15247914611513275</c:v>
                </c:pt>
                <c:pt idx="50">
                  <c:v>0.15402921800749364</c:v>
                </c:pt>
                <c:pt idx="51">
                  <c:v>0.15560170307551263</c:v>
                </c:pt>
                <c:pt idx="52">
                  <c:v>0.15719592870045968</c:v>
                </c:pt>
                <c:pt idx="53">
                  <c:v>0.1588112401563567</c:v>
                </c:pt>
                <c:pt idx="54">
                  <c:v>0.16044700059521214</c:v>
                </c:pt>
                <c:pt idx="55">
                  <c:v>0.16210259097250729</c:v>
                </c:pt>
                <c:pt idx="56">
                  <c:v>0.16377740991968337</c:v>
                </c:pt>
                <c:pt idx="57">
                  <c:v>0.16547087356994283</c:v>
                </c:pt>
                <c:pt idx="58">
                  <c:v>0.16718241534324116</c:v>
                </c:pt>
                <c:pt idx="59">
                  <c:v>0.16891148569591116</c:v>
                </c:pt>
                <c:pt idx="60">
                  <c:v>0.1706575518399347</c:v>
                </c:pt>
                <c:pt idx="61">
                  <c:v>0.17242009743646475</c:v>
                </c:pt>
                <c:pt idx="62">
                  <c:v>0.17419862226780095</c:v>
                </c:pt>
                <c:pt idx="63">
                  <c:v>0.17599264189164274</c:v>
                </c:pt>
                <c:pt idx="64">
                  <c:v>0.17780168728108292</c:v>
                </c:pt>
                <c:pt idx="65">
                  <c:v>0.17962530445346503</c:v>
                </c:pt>
                <c:pt idx="66">
                  <c:v>0.18146305409090854</c:v>
                </c:pt>
                <c:pt idx="67">
                  <c:v>0.18331451115500924</c:v>
                </c:pt>
                <c:pt idx="68">
                  <c:v>0.18517926449794536</c:v>
                </c:pt>
                <c:pt idx="69">
                  <c:v>0.18705691647196585</c:v>
                </c:pt>
                <c:pt idx="70">
                  <c:v>0.18894708253900086</c:v>
                </c:pt>
                <c:pt idx="71">
                  <c:v>0.19084939088192029</c:v>
                </c:pt>
                <c:pt idx="72">
                  <c:v>0.19276348201876828</c:v>
                </c:pt>
                <c:pt idx="73">
                  <c:v>0.19468900842112272</c:v>
                </c:pt>
                <c:pt idx="74">
                  <c:v>0.19662563413756609</c:v>
                </c:pt>
                <c:pt idx="75">
                  <c:v>0.19857303442310589</c:v>
                </c:pt>
                <c:pt idx="76">
                  <c:v>0.20053089537525134</c:v>
                </c:pt>
                <c:pt idx="77">
                  <c:v>0.20249891357733255</c:v>
                </c:pt>
                <c:pt idx="78">
                  <c:v>0.2044767957495422</c:v>
                </c:pt>
                <c:pt idx="79">
                  <c:v>0.2064642584080838</c:v>
                </c:pt>
                <c:pt idx="80">
                  <c:v>0.20846102753272613</c:v>
                </c:pt>
                <c:pt idx="81">
                  <c:v>0.21046683824298784</c:v>
                </c:pt>
                <c:pt idx="82">
                  <c:v>0.21248143448310963</c:v>
                </c:pt>
                <c:pt idx="83">
                  <c:v>0.21450456871591339</c:v>
                </c:pt>
                <c:pt idx="84">
                  <c:v>0.21653600162559575</c:v>
                </c:pt>
                <c:pt idx="85">
                  <c:v>0.21857550182945937</c:v>
                </c:pt>
                <c:pt idx="86">
                  <c:v>0.22062284559854631</c:v>
                </c:pt>
                <c:pt idx="87">
                  <c:v>0.22267781658710414</c:v>
                </c:pt>
                <c:pt idx="88">
                  <c:v>0.22474020557078789</c:v>
                </c:pt>
                <c:pt idx="89">
                  <c:v>0.22680981019347465</c:v>
                </c:pt>
                <c:pt idx="90">
                  <c:v>0.22888643472254969</c:v>
                </c:pt>
                <c:pt idx="91">
                  <c:v>0.23096988981250349</c:v>
                </c:pt>
                <c:pt idx="92">
                  <c:v>0.23305999227666682</c:v>
                </c:pt>
                <c:pt idx="93">
                  <c:v>0.23515656486689884</c:v>
                </c:pt>
                <c:pt idx="94">
                  <c:v>0.23725943606103428</c:v>
                </c:pt>
                <c:pt idx="95">
                  <c:v>0.23936843985788939</c:v>
                </c:pt>
                <c:pt idx="96">
                  <c:v>0.24148341557962114</c:v>
                </c:pt>
                <c:pt idx="97">
                  <c:v>0.24360420768123031</c:v>
                </c:pt>
                <c:pt idx="98">
                  <c:v>0.24573066556699835</c:v>
                </c:pt>
                <c:pt idx="99">
                  <c:v>0.24786264341364553</c:v>
                </c:pt>
                <c:pt idx="100">
                  <c:v>0.25</c:v>
                </c:pt>
              </c:numCache>
            </c:numRef>
          </c:xVal>
          <c:yVal>
            <c:numRef>
              <c:f>'Two-Asset Frontier Calculations'!$K$3:$K$103</c:f>
              <c:numCache>
                <c:formatCode>0.00%</c:formatCode>
                <c:ptCount val="101"/>
                <c:pt idx="0">
                  <c:v>#N/A</c:v>
                </c:pt>
                <c:pt idx="1">
                  <c:v>#N/A</c:v>
                </c:pt>
                <c:pt idx="2">
                  <c:v>#N/A</c:v>
                </c:pt>
                <c:pt idx="3">
                  <c:v>#N/A</c:v>
                </c:pt>
                <c:pt idx="4">
                  <c:v>#N/A</c:v>
                </c:pt>
                <c:pt idx="5">
                  <c:v>#N/A</c:v>
                </c:pt>
                <c:pt idx="6">
                  <c:v>#N/A</c:v>
                </c:pt>
                <c:pt idx="7">
                  <c:v>#N/A</c:v>
                </c:pt>
                <c:pt idx="8">
                  <c:v>#N/A</c:v>
                </c:pt>
                <c:pt idx="9">
                  <c:v>8.6300000000000002E-2</c:v>
                </c:pt>
                <c:pt idx="10">
                  <c:v>8.7000000000000008E-2</c:v>
                </c:pt>
                <c:pt idx="11">
                  <c:v>8.77E-2</c:v>
                </c:pt>
                <c:pt idx="12">
                  <c:v>8.8400000000000006E-2</c:v>
                </c:pt>
                <c:pt idx="13">
                  <c:v>8.9099999999999999E-2</c:v>
                </c:pt>
                <c:pt idx="14">
                  <c:v>8.9800000000000005E-2</c:v>
                </c:pt>
                <c:pt idx="15">
                  <c:v>9.0499999999999997E-2</c:v>
                </c:pt>
                <c:pt idx="16">
                  <c:v>9.1200000000000003E-2</c:v>
                </c:pt>
                <c:pt idx="17">
                  <c:v>9.1900000000000009E-2</c:v>
                </c:pt>
                <c:pt idx="18">
                  <c:v>9.2600000000000002E-2</c:v>
                </c:pt>
                <c:pt idx="19">
                  <c:v>9.3300000000000008E-2</c:v>
                </c:pt>
                <c:pt idx="20">
                  <c:v>9.4E-2</c:v>
                </c:pt>
                <c:pt idx="21">
                  <c:v>9.4700000000000006E-2</c:v>
                </c:pt>
                <c:pt idx="22">
                  <c:v>9.5400000000000013E-2</c:v>
                </c:pt>
                <c:pt idx="23">
                  <c:v>9.6100000000000005E-2</c:v>
                </c:pt>
                <c:pt idx="24">
                  <c:v>9.6799999999999997E-2</c:v>
                </c:pt>
                <c:pt idx="25">
                  <c:v>9.7500000000000003E-2</c:v>
                </c:pt>
                <c:pt idx="26">
                  <c:v>9.820000000000001E-2</c:v>
                </c:pt>
                <c:pt idx="27">
                  <c:v>9.8900000000000002E-2</c:v>
                </c:pt>
                <c:pt idx="28">
                  <c:v>9.9599999999999994E-2</c:v>
                </c:pt>
                <c:pt idx="29">
                  <c:v>0.1003</c:v>
                </c:pt>
                <c:pt idx="30">
                  <c:v>0.10099999999999999</c:v>
                </c:pt>
                <c:pt idx="31">
                  <c:v>0.1017</c:v>
                </c:pt>
                <c:pt idx="32">
                  <c:v>0.10239999999999999</c:v>
                </c:pt>
                <c:pt idx="33">
                  <c:v>0.1031</c:v>
                </c:pt>
                <c:pt idx="34">
                  <c:v>0.1038</c:v>
                </c:pt>
                <c:pt idx="35">
                  <c:v>0.1045</c:v>
                </c:pt>
                <c:pt idx="36">
                  <c:v>0.1052</c:v>
                </c:pt>
                <c:pt idx="37">
                  <c:v>0.10589999999999999</c:v>
                </c:pt>
                <c:pt idx="38">
                  <c:v>0.1066</c:v>
                </c:pt>
                <c:pt idx="39">
                  <c:v>0.10730000000000001</c:v>
                </c:pt>
                <c:pt idx="40">
                  <c:v>0.108</c:v>
                </c:pt>
                <c:pt idx="41">
                  <c:v>0.10869999999999999</c:v>
                </c:pt>
                <c:pt idx="42">
                  <c:v>0.1094</c:v>
                </c:pt>
                <c:pt idx="43">
                  <c:v>0.1101</c:v>
                </c:pt>
                <c:pt idx="44">
                  <c:v>0.11080000000000001</c:v>
                </c:pt>
                <c:pt idx="45">
                  <c:v>0.11150000000000002</c:v>
                </c:pt>
                <c:pt idx="46">
                  <c:v>0.11220000000000001</c:v>
                </c:pt>
                <c:pt idx="47">
                  <c:v>0.1129</c:v>
                </c:pt>
                <c:pt idx="48">
                  <c:v>0.11360000000000001</c:v>
                </c:pt>
                <c:pt idx="49">
                  <c:v>0.1143</c:v>
                </c:pt>
                <c:pt idx="50">
                  <c:v>0.11499999999999999</c:v>
                </c:pt>
                <c:pt idx="51">
                  <c:v>0.1157</c:v>
                </c:pt>
                <c:pt idx="52">
                  <c:v>0.1164</c:v>
                </c:pt>
                <c:pt idx="53">
                  <c:v>0.11710000000000001</c:v>
                </c:pt>
                <c:pt idx="54">
                  <c:v>0.1178</c:v>
                </c:pt>
                <c:pt idx="55">
                  <c:v>0.11849999999999999</c:v>
                </c:pt>
                <c:pt idx="56">
                  <c:v>0.1192</c:v>
                </c:pt>
                <c:pt idx="57">
                  <c:v>0.11990000000000001</c:v>
                </c:pt>
                <c:pt idx="58">
                  <c:v>0.1206</c:v>
                </c:pt>
                <c:pt idx="59">
                  <c:v>0.12129999999999999</c:v>
                </c:pt>
                <c:pt idx="60">
                  <c:v>0.122</c:v>
                </c:pt>
                <c:pt idx="61">
                  <c:v>0.1227</c:v>
                </c:pt>
                <c:pt idx="62">
                  <c:v>0.1234</c:v>
                </c:pt>
                <c:pt idx="63">
                  <c:v>0.1241</c:v>
                </c:pt>
                <c:pt idx="64">
                  <c:v>0.12479999999999999</c:v>
                </c:pt>
                <c:pt idx="65">
                  <c:v>0.1255</c:v>
                </c:pt>
                <c:pt idx="66">
                  <c:v>0.12620000000000001</c:v>
                </c:pt>
                <c:pt idx="67">
                  <c:v>0.12690000000000001</c:v>
                </c:pt>
                <c:pt idx="68">
                  <c:v>0.12759999999999999</c:v>
                </c:pt>
                <c:pt idx="69">
                  <c:v>0.1283</c:v>
                </c:pt>
                <c:pt idx="70">
                  <c:v>0.129</c:v>
                </c:pt>
                <c:pt idx="71">
                  <c:v>0.12970000000000001</c:v>
                </c:pt>
                <c:pt idx="72">
                  <c:v>0.13040000000000002</c:v>
                </c:pt>
                <c:pt idx="73">
                  <c:v>0.13109999999999999</c:v>
                </c:pt>
                <c:pt idx="74">
                  <c:v>0.1318</c:v>
                </c:pt>
                <c:pt idx="75">
                  <c:v>0.13249999999999998</c:v>
                </c:pt>
                <c:pt idx="76">
                  <c:v>0.13319999999999999</c:v>
                </c:pt>
                <c:pt idx="77">
                  <c:v>0.13389999999999999</c:v>
                </c:pt>
                <c:pt idx="78">
                  <c:v>0.1346</c:v>
                </c:pt>
                <c:pt idx="79">
                  <c:v>0.1353</c:v>
                </c:pt>
                <c:pt idx="80">
                  <c:v>0.13599999999999998</c:v>
                </c:pt>
                <c:pt idx="81">
                  <c:v>0.13669999999999999</c:v>
                </c:pt>
                <c:pt idx="82">
                  <c:v>0.13739999999999999</c:v>
                </c:pt>
                <c:pt idx="83">
                  <c:v>0.1381</c:v>
                </c:pt>
                <c:pt idx="84">
                  <c:v>0.13880000000000001</c:v>
                </c:pt>
                <c:pt idx="85">
                  <c:v>0.13950000000000001</c:v>
                </c:pt>
                <c:pt idx="86">
                  <c:v>0.14019999999999999</c:v>
                </c:pt>
                <c:pt idx="87">
                  <c:v>0.1409</c:v>
                </c:pt>
                <c:pt idx="88">
                  <c:v>0.1416</c:v>
                </c:pt>
                <c:pt idx="89">
                  <c:v>0.14230000000000001</c:v>
                </c:pt>
                <c:pt idx="90">
                  <c:v>0.14300000000000002</c:v>
                </c:pt>
                <c:pt idx="91">
                  <c:v>0.14369999999999999</c:v>
                </c:pt>
                <c:pt idx="92">
                  <c:v>0.1444</c:v>
                </c:pt>
                <c:pt idx="93">
                  <c:v>0.14510000000000001</c:v>
                </c:pt>
                <c:pt idx="94">
                  <c:v>0.14580000000000001</c:v>
                </c:pt>
                <c:pt idx="95">
                  <c:v>0.14650000000000002</c:v>
                </c:pt>
                <c:pt idx="96">
                  <c:v>0.1472</c:v>
                </c:pt>
                <c:pt idx="97">
                  <c:v>0.1479</c:v>
                </c:pt>
                <c:pt idx="98">
                  <c:v>0.14859999999999998</c:v>
                </c:pt>
                <c:pt idx="99">
                  <c:v>0.14929999999999999</c:v>
                </c:pt>
                <c:pt idx="100">
                  <c:v>0.15</c:v>
                </c:pt>
              </c:numCache>
            </c:numRef>
          </c:yVal>
          <c:smooth val="1"/>
          <c:extLst>
            <c:ext xmlns:c16="http://schemas.microsoft.com/office/drawing/2014/chart" uri="{C3380CC4-5D6E-409C-BE32-E72D297353CC}">
              <c16:uniqueId val="{00000001-6608-431E-B17D-F65747F62364}"/>
            </c:ext>
          </c:extLst>
        </c:ser>
        <c:dLbls>
          <c:showLegendKey val="0"/>
          <c:showVal val="0"/>
          <c:showCatName val="0"/>
          <c:showSerName val="0"/>
          <c:showPercent val="0"/>
          <c:showBubbleSize val="0"/>
        </c:dLbls>
        <c:axId val="77147402"/>
        <c:axId val="48188056"/>
      </c:scatterChart>
      <c:valAx>
        <c:axId val="77147402"/>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l-GR" sz="1000" b="1" strike="noStrike" spc="-1">
                    <a:solidFill>
                      <a:srgbClr val="000000"/>
                    </a:solidFill>
                    <a:latin typeface="Calibri"/>
                  </a:rPr>
                  <a:t>σ</a:t>
                </a:r>
                <a:r>
                  <a:rPr lang="en-IN" sz="1000" b="1" strike="noStrike" spc="-1">
                    <a:solidFill>
                      <a:srgbClr val="000000"/>
                    </a:solidFill>
                    <a:latin typeface="Calibri"/>
                  </a:rPr>
                  <a:t>p</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8188056"/>
        <c:crosses val="autoZero"/>
        <c:crossBetween val="midCat"/>
      </c:valAx>
      <c:valAx>
        <c:axId val="4818805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E(Rp)</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7147402"/>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4</xdr:col>
      <xdr:colOff>367392</xdr:colOff>
      <xdr:row>0</xdr:row>
      <xdr:rowOff>0</xdr:rowOff>
    </xdr:from>
    <xdr:to>
      <xdr:col>7</xdr:col>
      <xdr:colOff>439298</xdr:colOff>
      <xdr:row>8</xdr:row>
      <xdr:rowOff>81643</xdr:rowOff>
    </xdr:to>
    <xdr:pic>
      <xdr:nvPicPr>
        <xdr:cNvPr id="2" name="Picture 1">
          <a:extLst>
            <a:ext uri="{FF2B5EF4-FFF2-40B4-BE49-F238E27FC236}">
              <a16:creationId xmlns:a16="http://schemas.microsoft.com/office/drawing/2014/main" id="{92DF9B70-C3A9-41A0-A40A-632F244D51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03428" y="0"/>
          <a:ext cx="1922477" cy="2286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14</xdr:col>
      <xdr:colOff>549000</xdr:colOff>
      <xdr:row>31</xdr:row>
      <xdr:rowOff>425520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0</xdr:colOff>
      <xdr:row>2</xdr:row>
      <xdr:rowOff>0</xdr:rowOff>
    </xdr:from>
    <xdr:to>
      <xdr:col>24</xdr:col>
      <xdr:colOff>78480</xdr:colOff>
      <xdr:row>32</xdr:row>
      <xdr:rowOff>44640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504826</xdr:colOff>
      <xdr:row>1</xdr:row>
      <xdr:rowOff>123824</xdr:rowOff>
    </xdr:from>
    <xdr:to>
      <xdr:col>25</xdr:col>
      <xdr:colOff>583666</xdr:colOff>
      <xdr:row>25</xdr:row>
      <xdr:rowOff>120689</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202515</xdr:colOff>
      <xdr:row>0</xdr:row>
      <xdr:rowOff>0</xdr:rowOff>
    </xdr:from>
    <xdr:to>
      <xdr:col>23</xdr:col>
      <xdr:colOff>279707</xdr:colOff>
      <xdr:row>40</xdr:row>
      <xdr:rowOff>167376</xdr:rowOff>
    </xdr:to>
    <xdr:graphicFrame macro="">
      <xdr:nvGraphicFramePr>
        <xdr:cNvPr id="3" name="Chart 1">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16</xdr:row>
      <xdr:rowOff>0</xdr:rowOff>
    </xdr:from>
    <xdr:to>
      <xdr:col>6</xdr:col>
      <xdr:colOff>629640</xdr:colOff>
      <xdr:row>38</xdr:row>
      <xdr:rowOff>128640</xdr:rowOff>
    </xdr:to>
    <xdr:graphicFrame macro="">
      <xdr:nvGraphicFramePr>
        <xdr:cNvPr id="4" name="Chart 1">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B1:O31"/>
  <sheetViews>
    <sheetView showGridLines="0" zoomScale="70" zoomScaleNormal="70" workbookViewId="0">
      <selection activeCell="B11" sqref="B11:C11"/>
    </sheetView>
  </sheetViews>
  <sheetFormatPr defaultColWidth="8.7109375" defaultRowHeight="15" x14ac:dyDescent="0.25"/>
  <cols>
    <col min="1" max="1" width="2" customWidth="1"/>
    <col min="2" max="2" width="4" customWidth="1"/>
    <col min="3" max="3" width="152.85546875" customWidth="1"/>
    <col min="4" max="4" width="2" customWidth="1"/>
    <col min="5" max="5" width="10.140625" customWidth="1"/>
    <col min="9" max="9" width="8.7109375" customWidth="1"/>
    <col min="12" max="12" width="8.7109375" customWidth="1"/>
  </cols>
  <sheetData>
    <row r="1" spans="2:15" ht="27.75" customHeight="1" x14ac:dyDescent="0.25">
      <c r="B1" s="44" t="s">
        <v>0</v>
      </c>
      <c r="C1" s="44"/>
      <c r="I1" s="57" t="s">
        <v>208</v>
      </c>
      <c r="J1" s="56"/>
      <c r="K1" s="56"/>
      <c r="L1" s="56"/>
      <c r="M1" s="56"/>
      <c r="N1" s="56"/>
      <c r="O1" s="56"/>
    </row>
    <row r="2" spans="2:15" x14ac:dyDescent="0.25">
      <c r="I2" s="56"/>
      <c r="J2" s="56"/>
      <c r="K2" s="56"/>
      <c r="L2" s="56"/>
      <c r="M2" s="56"/>
      <c r="N2" s="56"/>
      <c r="O2" s="56"/>
    </row>
    <row r="3" spans="2:15" ht="19.5" customHeight="1" x14ac:dyDescent="0.25">
      <c r="B3" s="42" t="s">
        <v>1</v>
      </c>
      <c r="C3" s="42"/>
      <c r="I3" s="56"/>
      <c r="J3" s="56"/>
      <c r="K3" s="56"/>
      <c r="L3" s="56"/>
      <c r="M3" s="56"/>
      <c r="N3" s="56"/>
      <c r="O3" s="56"/>
    </row>
    <row r="4" spans="2:15" ht="40.5" customHeight="1" x14ac:dyDescent="0.25">
      <c r="B4" s="45" t="s">
        <v>2</v>
      </c>
      <c r="C4" s="45"/>
      <c r="I4" s="56"/>
      <c r="J4" s="56"/>
      <c r="K4" s="56"/>
      <c r="L4" s="56"/>
      <c r="M4" s="56"/>
      <c r="N4" s="56"/>
      <c r="O4" s="56"/>
    </row>
    <row r="5" spans="2:15" x14ac:dyDescent="0.25">
      <c r="I5" s="56"/>
      <c r="J5" s="56"/>
      <c r="K5" s="56"/>
      <c r="L5" s="56"/>
      <c r="M5" s="56"/>
      <c r="N5" s="56"/>
      <c r="O5" s="56"/>
    </row>
    <row r="6" spans="2:15" ht="19.5" customHeight="1" x14ac:dyDescent="0.25">
      <c r="B6" s="42" t="s">
        <v>3</v>
      </c>
      <c r="C6" s="42"/>
      <c r="I6" s="56"/>
      <c r="J6" s="56"/>
      <c r="K6" s="56"/>
      <c r="L6" s="56"/>
      <c r="M6" s="56"/>
      <c r="N6" s="56"/>
      <c r="O6" s="56"/>
    </row>
    <row r="7" spans="2:15" ht="18" customHeight="1" x14ac:dyDescent="0.25">
      <c r="B7" s="43" t="s">
        <v>4</v>
      </c>
      <c r="C7" s="43"/>
      <c r="I7" s="56"/>
      <c r="J7" s="56"/>
      <c r="K7" s="56"/>
      <c r="L7" s="56"/>
      <c r="M7" s="56"/>
      <c r="N7" s="56"/>
      <c r="O7" s="56"/>
    </row>
    <row r="8" spans="2:15" ht="18" customHeight="1" x14ac:dyDescent="0.25">
      <c r="B8" s="43" t="s">
        <v>5</v>
      </c>
      <c r="C8" s="43"/>
      <c r="I8" s="56"/>
      <c r="J8" s="56"/>
      <c r="K8" s="56"/>
      <c r="L8" s="56"/>
      <c r="M8" s="56"/>
      <c r="N8" s="56"/>
      <c r="O8" s="56"/>
    </row>
    <row r="9" spans="2:15" ht="18" customHeight="1" x14ac:dyDescent="0.25">
      <c r="B9" s="43" t="s">
        <v>6</v>
      </c>
      <c r="C9" s="43"/>
    </row>
    <row r="10" spans="2:15" ht="18" customHeight="1" x14ac:dyDescent="0.25">
      <c r="B10" s="43" t="s">
        <v>7</v>
      </c>
      <c r="C10" s="43"/>
    </row>
    <row r="11" spans="2:15" ht="18" customHeight="1" x14ac:dyDescent="0.25">
      <c r="B11" s="43" t="s">
        <v>8</v>
      </c>
      <c r="C11" s="43"/>
    </row>
    <row r="12" spans="2:15" ht="18" customHeight="1" x14ac:dyDescent="0.25">
      <c r="B12" s="43" t="s">
        <v>9</v>
      </c>
      <c r="C12" s="43"/>
    </row>
    <row r="13" spans="2:15" ht="18" customHeight="1" x14ac:dyDescent="0.25">
      <c r="B13" s="43" t="s">
        <v>10</v>
      </c>
      <c r="C13" s="43"/>
    </row>
    <row r="14" spans="2:15" ht="18" customHeight="1" x14ac:dyDescent="0.25">
      <c r="B14" s="43" t="s">
        <v>11</v>
      </c>
      <c r="C14" s="43"/>
    </row>
    <row r="15" spans="2:15" ht="18" customHeight="1" x14ac:dyDescent="0.25">
      <c r="B15" s="43" t="s">
        <v>12</v>
      </c>
      <c r="C15" s="43"/>
    </row>
    <row r="17" spans="2:3" ht="19.5" customHeight="1" x14ac:dyDescent="0.25">
      <c r="B17" s="42" t="s">
        <v>207</v>
      </c>
      <c r="C17" s="42"/>
    </row>
    <row r="18" spans="2:3" ht="18" customHeight="1" x14ac:dyDescent="0.25">
      <c r="B18" s="43" t="s">
        <v>13</v>
      </c>
      <c r="C18" s="43"/>
    </row>
    <row r="19" spans="2:3" ht="18" customHeight="1" x14ac:dyDescent="0.25">
      <c r="B19" s="43" t="s">
        <v>14</v>
      </c>
      <c r="C19" s="43"/>
    </row>
    <row r="20" spans="2:3" ht="18" customHeight="1" x14ac:dyDescent="0.25">
      <c r="B20" s="43" t="s">
        <v>15</v>
      </c>
      <c r="C20" s="43"/>
    </row>
    <row r="21" spans="2:3" ht="18" customHeight="1" x14ac:dyDescent="0.25">
      <c r="B21" s="43" t="s">
        <v>16</v>
      </c>
      <c r="C21" s="43"/>
    </row>
    <row r="22" spans="2:3" ht="18" customHeight="1" x14ac:dyDescent="0.25">
      <c r="B22" s="43" t="s">
        <v>17</v>
      </c>
      <c r="C22" s="43"/>
    </row>
    <row r="23" spans="2:3" ht="18" customHeight="1" x14ac:dyDescent="0.25">
      <c r="B23" s="43" t="s">
        <v>18</v>
      </c>
      <c r="C23" s="43"/>
    </row>
    <row r="25" spans="2:3" ht="19.5" customHeight="1" x14ac:dyDescent="0.25">
      <c r="B25" s="42" t="s">
        <v>19</v>
      </c>
      <c r="C25" s="42"/>
    </row>
    <row r="26" spans="2:3" ht="18" customHeight="1" x14ac:dyDescent="0.25">
      <c r="B26" s="41" t="s">
        <v>20</v>
      </c>
      <c r="C26" s="41"/>
    </row>
    <row r="27" spans="2:3" ht="18" customHeight="1" x14ac:dyDescent="0.25">
      <c r="B27" s="41" t="s">
        <v>21</v>
      </c>
      <c r="C27" s="41"/>
    </row>
    <row r="28" spans="2:3" ht="18" customHeight="1" x14ac:dyDescent="0.25">
      <c r="B28" s="41" t="s">
        <v>22</v>
      </c>
      <c r="C28" s="41"/>
    </row>
    <row r="29" spans="2:3" ht="18" customHeight="1" x14ac:dyDescent="0.25">
      <c r="B29" s="41" t="s">
        <v>23</v>
      </c>
      <c r="C29" s="41"/>
    </row>
    <row r="30" spans="2:3" ht="18" customHeight="1" x14ac:dyDescent="0.25">
      <c r="B30" s="41" t="s">
        <v>24</v>
      </c>
      <c r="C30" s="41"/>
    </row>
    <row r="31" spans="2:3" ht="18" customHeight="1" x14ac:dyDescent="0.25">
      <c r="B31" s="41" t="s">
        <v>25</v>
      </c>
      <c r="C31" s="41"/>
    </row>
  </sheetData>
  <sheetProtection algorithmName="SHA-512" hashValue="d7+D1U/iW/T9eUY6tv7J5HyWiEYIbm0dXcFXhKSUXcADcwcs/uIHeMYhLEnJPEhbaFuiW9YwLQJnj01LcYi1qw==" saltValue="ZFPtm3CHaqYaHiZvt1ynJQ==" spinCount="100000" sheet="1" objects="1" scenarios="1"/>
  <mergeCells count="28">
    <mergeCell ref="I1:O8"/>
    <mergeCell ref="B1:C1"/>
    <mergeCell ref="B3:C3"/>
    <mergeCell ref="B4:C4"/>
    <mergeCell ref="B6:C6"/>
    <mergeCell ref="B7:C7"/>
    <mergeCell ref="B8:C8"/>
    <mergeCell ref="B9:C9"/>
    <mergeCell ref="B10:C10"/>
    <mergeCell ref="B11:C11"/>
    <mergeCell ref="B12:C12"/>
    <mergeCell ref="B13:C13"/>
    <mergeCell ref="B14:C14"/>
    <mergeCell ref="B15:C15"/>
    <mergeCell ref="B17:C17"/>
    <mergeCell ref="B18:C18"/>
    <mergeCell ref="B19:C19"/>
    <mergeCell ref="B20:C20"/>
    <mergeCell ref="B21:C21"/>
    <mergeCell ref="B22:C22"/>
    <mergeCell ref="B23:C23"/>
    <mergeCell ref="B30:C30"/>
    <mergeCell ref="B31:C31"/>
    <mergeCell ref="B25:C25"/>
    <mergeCell ref="B26:C26"/>
    <mergeCell ref="B27:C27"/>
    <mergeCell ref="B28:C28"/>
    <mergeCell ref="B29:C29"/>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D7D31"/>
  </sheetPr>
  <dimension ref="B1:E26"/>
  <sheetViews>
    <sheetView showGridLines="0" zoomScale="145" zoomScaleNormal="145" workbookViewId="0">
      <selection activeCell="D6" sqref="D6"/>
    </sheetView>
  </sheetViews>
  <sheetFormatPr defaultColWidth="8.7109375" defaultRowHeight="15" x14ac:dyDescent="0.25"/>
  <cols>
    <col min="1" max="1" width="2" customWidth="1"/>
    <col min="2" max="2" width="4" customWidth="1"/>
    <col min="3" max="3" width="40" customWidth="1"/>
    <col min="4" max="4" width="18.42578125" bestFit="1" customWidth="1"/>
    <col min="5" max="5" width="40" customWidth="1"/>
    <col min="6" max="6" width="2" customWidth="1"/>
  </cols>
  <sheetData>
    <row r="1" spans="2:5" ht="27.75" customHeight="1" x14ac:dyDescent="0.25">
      <c r="B1" s="44" t="s">
        <v>26</v>
      </c>
      <c r="C1" s="44"/>
      <c r="D1" s="44"/>
      <c r="E1" s="44"/>
    </row>
    <row r="3" spans="2:5" x14ac:dyDescent="0.25">
      <c r="C3" s="2" t="s">
        <v>27</v>
      </c>
      <c r="D3" s="2" t="s">
        <v>28</v>
      </c>
      <c r="E3" s="2" t="s">
        <v>29</v>
      </c>
    </row>
    <row r="4" spans="2:5" ht="19.5" customHeight="1" x14ac:dyDescent="0.25">
      <c r="B4" s="42" t="s">
        <v>30</v>
      </c>
      <c r="C4" s="42"/>
      <c r="D4" s="42"/>
      <c r="E4" s="42"/>
    </row>
    <row r="5" spans="2:5" x14ac:dyDescent="0.25">
      <c r="C5" s="1" t="s">
        <v>31</v>
      </c>
      <c r="D5" s="3" t="s">
        <v>32</v>
      </c>
      <c r="E5" s="1" t="s">
        <v>33</v>
      </c>
    </row>
    <row r="6" spans="2:5" x14ac:dyDescent="0.25">
      <c r="C6" s="1" t="s">
        <v>34</v>
      </c>
      <c r="D6" s="4">
        <v>0.15</v>
      </c>
      <c r="E6" s="1" t="s">
        <v>35</v>
      </c>
    </row>
    <row r="7" spans="2:5" x14ac:dyDescent="0.25">
      <c r="C7" s="1" t="s">
        <v>36</v>
      </c>
      <c r="D7" s="4">
        <v>0.25</v>
      </c>
      <c r="E7" s="1" t="s">
        <v>37</v>
      </c>
    </row>
    <row r="9" spans="2:5" ht="19.5" customHeight="1" x14ac:dyDescent="0.25">
      <c r="B9" s="42" t="s">
        <v>38</v>
      </c>
      <c r="C9" s="42"/>
      <c r="D9" s="42"/>
      <c r="E9" s="42"/>
    </row>
    <row r="10" spans="2:5" x14ac:dyDescent="0.25">
      <c r="C10" s="1" t="s">
        <v>39</v>
      </c>
      <c r="D10" s="3" t="s">
        <v>40</v>
      </c>
      <c r="E10" s="1" t="s">
        <v>33</v>
      </c>
    </row>
    <row r="11" spans="2:5" x14ac:dyDescent="0.25">
      <c r="C11" s="1" t="s">
        <v>41</v>
      </c>
      <c r="D11" s="4">
        <v>0.08</v>
      </c>
      <c r="E11" s="1" t="s">
        <v>42</v>
      </c>
    </row>
    <row r="12" spans="2:5" x14ac:dyDescent="0.25">
      <c r="C12" s="1" t="s">
        <v>43</v>
      </c>
      <c r="D12" s="4">
        <v>0.12</v>
      </c>
      <c r="E12" s="1" t="s">
        <v>44</v>
      </c>
    </row>
    <row r="14" spans="2:5" ht="19.5" customHeight="1" x14ac:dyDescent="0.25">
      <c r="B14" s="42" t="s">
        <v>45</v>
      </c>
      <c r="C14" s="42"/>
      <c r="D14" s="42"/>
      <c r="E14" s="42"/>
    </row>
    <row r="15" spans="2:5" x14ac:dyDescent="0.25">
      <c r="C15" s="1" t="s">
        <v>46</v>
      </c>
      <c r="D15" s="5">
        <v>0.3</v>
      </c>
      <c r="E15" s="1" t="s">
        <v>47</v>
      </c>
    </row>
    <row r="17" spans="2:5" x14ac:dyDescent="0.25">
      <c r="D17" s="46" t="s">
        <v>48</v>
      </c>
      <c r="E17" s="46"/>
    </row>
    <row r="18" spans="2:5" x14ac:dyDescent="0.25">
      <c r="D18" s="46" t="s">
        <v>49</v>
      </c>
      <c r="E18" s="46"/>
    </row>
    <row r="19" spans="2:5" x14ac:dyDescent="0.25">
      <c r="D19" s="46" t="s">
        <v>50</v>
      </c>
      <c r="E19" s="46"/>
    </row>
    <row r="21" spans="2:5" ht="19.5" customHeight="1" x14ac:dyDescent="0.25">
      <c r="B21" s="42" t="s">
        <v>51</v>
      </c>
      <c r="C21" s="42"/>
      <c r="D21" s="42"/>
      <c r="E21" s="42"/>
    </row>
    <row r="22" spans="2:5" x14ac:dyDescent="0.25">
      <c r="C22" s="1" t="s">
        <v>52</v>
      </c>
      <c r="D22" s="4">
        <v>0.05</v>
      </c>
      <c r="E22" s="1" t="s">
        <v>53</v>
      </c>
    </row>
    <row r="23" spans="2:5" x14ac:dyDescent="0.25">
      <c r="C23" s="1" t="s">
        <v>54</v>
      </c>
      <c r="D23" s="4">
        <v>0.12</v>
      </c>
      <c r="E23" s="1" t="s">
        <v>55</v>
      </c>
    </row>
    <row r="24" spans="2:5" x14ac:dyDescent="0.25">
      <c r="C24" s="1" t="s">
        <v>56</v>
      </c>
      <c r="D24" s="4">
        <v>0.18</v>
      </c>
      <c r="E24" s="1" t="s">
        <v>57</v>
      </c>
    </row>
    <row r="26" spans="2:5" x14ac:dyDescent="0.25">
      <c r="C26" s="6" t="s">
        <v>58</v>
      </c>
      <c r="D26" s="7">
        <f>Inputs!$D$23-Inputs!$D$22</f>
        <v>6.9999999999999993E-2</v>
      </c>
      <c r="E26" s="1" t="s">
        <v>59</v>
      </c>
    </row>
  </sheetData>
  <mergeCells count="8">
    <mergeCell ref="D18:E18"/>
    <mergeCell ref="D19:E19"/>
    <mergeCell ref="B21:E21"/>
    <mergeCell ref="B1:E1"/>
    <mergeCell ref="B4:E4"/>
    <mergeCell ref="B9:E9"/>
    <mergeCell ref="B14:E14"/>
    <mergeCell ref="D17:E17"/>
  </mergeCells>
  <dataValidations count="1">
    <dataValidation type="decimal" errorTitle="Invalid Correlation" error="Correlation must be between –1.00 and +1.00" promptTitle="Correlation ρAB" prompt="Enter value between –1.00 and +1.00" sqref="D15" xr:uid="{00000000-0002-0000-0100-000000000000}">
      <formula1>-1</formula1>
      <formula2>1</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R108"/>
  <sheetViews>
    <sheetView zoomScaleNormal="100" workbookViewId="0">
      <pane xSplit="1" ySplit="2" topLeftCell="B57" activePane="bottomRight" state="frozen"/>
      <selection pane="topRight" activeCell="B1" sqref="B1"/>
      <selection pane="bottomLeft" activeCell="A3" sqref="A3"/>
      <selection pane="bottomRight" activeCell="L3" sqref="L3"/>
    </sheetView>
  </sheetViews>
  <sheetFormatPr defaultColWidth="8.7109375" defaultRowHeight="15" x14ac:dyDescent="0.25"/>
  <cols>
    <col min="1" max="1" width="5" customWidth="1"/>
    <col min="2" max="3" width="11" customWidth="1"/>
    <col min="4" max="4" width="14" customWidth="1"/>
    <col min="5" max="7" width="16" customWidth="1"/>
    <col min="8" max="8" width="18" customWidth="1"/>
    <col min="9" max="9" width="14" customWidth="1"/>
    <col min="10" max="11" width="16" customWidth="1"/>
    <col min="12" max="12" width="17.5703125" customWidth="1"/>
    <col min="13" max="13" width="14" customWidth="1"/>
    <col min="14" max="14" width="12" customWidth="1"/>
    <col min="16" max="16" width="19.42578125" bestFit="1" customWidth="1"/>
    <col min="17" max="18" width="14" customWidth="1"/>
  </cols>
  <sheetData>
    <row r="1" spans="1:14" ht="27.75" customHeight="1" x14ac:dyDescent="0.25">
      <c r="A1" s="44" t="s">
        <v>60</v>
      </c>
      <c r="B1" s="44"/>
      <c r="C1" s="44"/>
      <c r="D1" s="44"/>
      <c r="E1" s="44"/>
      <c r="F1" s="44"/>
      <c r="G1" s="44"/>
      <c r="H1" s="44"/>
      <c r="I1" s="44"/>
      <c r="J1" s="44"/>
      <c r="K1" s="44"/>
      <c r="L1" s="44"/>
      <c r="M1" s="44"/>
      <c r="N1" s="44"/>
    </row>
    <row r="2" spans="1:14" ht="42" customHeight="1" x14ac:dyDescent="0.25">
      <c r="A2" s="2" t="s">
        <v>61</v>
      </c>
      <c r="B2" s="2" t="s">
        <v>62</v>
      </c>
      <c r="C2" s="2" t="s">
        <v>63</v>
      </c>
      <c r="D2" s="2" t="s">
        <v>64</v>
      </c>
      <c r="E2" s="2" t="s">
        <v>65</v>
      </c>
      <c r="F2" s="2" t="s">
        <v>66</v>
      </c>
      <c r="G2" s="2" t="s">
        <v>67</v>
      </c>
      <c r="H2" s="2" t="s">
        <v>68</v>
      </c>
      <c r="I2" s="2" t="s">
        <v>69</v>
      </c>
      <c r="J2" s="2" t="s">
        <v>70</v>
      </c>
      <c r="K2" s="2" t="s">
        <v>71</v>
      </c>
      <c r="L2" s="2" t="s">
        <v>72</v>
      </c>
      <c r="M2" s="2" t="s">
        <v>73</v>
      </c>
      <c r="N2" s="2" t="s">
        <v>74</v>
      </c>
    </row>
    <row r="3" spans="1:14" x14ac:dyDescent="0.25">
      <c r="A3" s="8">
        <v>1</v>
      </c>
      <c r="B3" s="9">
        <f>(ROW()-3)*0.01</f>
        <v>0</v>
      </c>
      <c r="C3" s="9">
        <f t="shared" ref="C3:C34" si="0">1-B3</f>
        <v>1</v>
      </c>
      <c r="D3" s="10">
        <f>B3*Inputs!$D$6+C3*Inputs!$D$11</f>
        <v>0.08</v>
      </c>
      <c r="E3" s="10">
        <f>B3*Inputs!$D$7+C3*Inputs!$D$12</f>
        <v>0.12</v>
      </c>
      <c r="F3" s="11">
        <f>B3^2*Inputs!$D$7^2+C3^2*Inputs!$D$12^2+2*B3*C3*Inputs!$D$7*Inputs!$D$12*Inputs!$D$15</f>
        <v>1.44E-2</v>
      </c>
      <c r="G3" s="10">
        <f>SQRT(F3)</f>
        <v>0.12</v>
      </c>
      <c r="H3" s="9">
        <f>E3-G3</f>
        <v>0</v>
      </c>
      <c r="I3" s="12">
        <f>IFERROR((D3-Inputs!$D$22)/G3,"")</f>
        <v>0.25</v>
      </c>
      <c r="J3" s="9" t="e">
        <f t="shared" ref="J3:J34" si="1">IF(D3&gt;=INDEX($D$3:$D$103,MATCH(MIN($G$3:$G$103),$G$3:$G$103,0)),G3,NA())</f>
        <v>#N/A</v>
      </c>
      <c r="K3" s="9" t="e">
        <f t="shared" ref="K3:K34" si="2">IF(D3&gt;=INDEX($D$3:$D$103,MATCH(MIN($G$3:$G$103),$G$3:$G$103,0)),D3,NA())</f>
        <v>#N/A</v>
      </c>
      <c r="L3" s="9">
        <f>G3</f>
        <v>0.12</v>
      </c>
      <c r="M3" s="9">
        <f>D3</f>
        <v>0.08</v>
      </c>
      <c r="N3" s="13" t="str">
        <f t="shared" ref="N3:N34" si="3">IF(ABS(G3-MIN($G$3:$G$103))&lt;0.00001,"★ MVP","")</f>
        <v/>
      </c>
    </row>
    <row r="4" spans="1:14" x14ac:dyDescent="0.25">
      <c r="A4" s="8">
        <v>2</v>
      </c>
      <c r="B4" s="14">
        <f t="shared" ref="B4:B34" si="4">(ROW()-3)*0.01</f>
        <v>0.01</v>
      </c>
      <c r="C4" s="14">
        <f t="shared" si="0"/>
        <v>0.99</v>
      </c>
      <c r="D4" s="7">
        <f>B4*Inputs!$D$6+C4*Inputs!$D$11</f>
        <v>8.0700000000000008E-2</v>
      </c>
      <c r="E4" s="7">
        <f>B4*Inputs!$D$7+C4*Inputs!$D$12</f>
        <v>0.12129999999999999</v>
      </c>
      <c r="F4" s="15">
        <f>B4^2*Inputs!$D$7^2+C4^2*Inputs!$D$12^2+2*B4*C4*Inputs!$D$7*Inputs!$D$12*Inputs!$D$15</f>
        <v>1.4297889999999999E-2</v>
      </c>
      <c r="G4" s="7">
        <f t="shared" ref="G4:G34" si="5">SQRT(F4)</f>
        <v>0.11957378475234444</v>
      </c>
      <c r="H4" s="14">
        <f t="shared" ref="H4:H34" si="6">E4-G4</f>
        <v>1.726215247655552E-3</v>
      </c>
      <c r="I4" s="16">
        <f>IFERROR((D4-Inputs!$D$22)/G4,"")</f>
        <v>0.25674523946519207</v>
      </c>
      <c r="J4" s="14" t="e">
        <f t="shared" si="1"/>
        <v>#N/A</v>
      </c>
      <c r="K4" s="14" t="e">
        <f t="shared" si="2"/>
        <v>#N/A</v>
      </c>
      <c r="L4" s="14">
        <f t="shared" ref="L4:L34" si="7">G4</f>
        <v>0.11957378475234444</v>
      </c>
      <c r="M4" s="14">
        <f t="shared" ref="M4:M34" si="8">D4</f>
        <v>8.0700000000000008E-2</v>
      </c>
      <c r="N4" s="8" t="str">
        <f t="shared" si="3"/>
        <v/>
      </c>
    </row>
    <row r="5" spans="1:14" x14ac:dyDescent="0.25">
      <c r="A5" s="8">
        <v>3</v>
      </c>
      <c r="B5" s="9">
        <f>(ROW()-3)*0.01</f>
        <v>0.02</v>
      </c>
      <c r="C5" s="9">
        <f t="shared" si="0"/>
        <v>0.98</v>
      </c>
      <c r="D5" s="10">
        <f>B5*Inputs!$D$6+C5*Inputs!$D$11</f>
        <v>8.14E-2</v>
      </c>
      <c r="E5" s="10">
        <f>B5*Inputs!$D$7+C5*Inputs!$D$12</f>
        <v>0.1226</v>
      </c>
      <c r="F5" s="11">
        <f>B5^2*Inputs!$D$7^2+C5^2*Inputs!$D$12^2+2*B5*C5*Inputs!$D$7*Inputs!$D$12*Inputs!$D$15</f>
        <v>1.4207559999999999E-2</v>
      </c>
      <c r="G5" s="10">
        <f t="shared" si="5"/>
        <v>0.1191954697125692</v>
      </c>
      <c r="H5" s="9">
        <f t="shared" si="6"/>
        <v>3.4045302874308042E-3</v>
      </c>
      <c r="I5" s="12">
        <f>IFERROR((D5-Inputs!$D$22)/G5,"")</f>
        <v>0.26343283075874196</v>
      </c>
      <c r="J5" s="9" t="e">
        <f t="shared" si="1"/>
        <v>#N/A</v>
      </c>
      <c r="K5" s="9" t="e">
        <f t="shared" si="2"/>
        <v>#N/A</v>
      </c>
      <c r="L5" s="9">
        <f t="shared" si="7"/>
        <v>0.1191954697125692</v>
      </c>
      <c r="M5" s="9">
        <f t="shared" si="8"/>
        <v>8.14E-2</v>
      </c>
      <c r="N5" s="13" t="str">
        <f t="shared" si="3"/>
        <v/>
      </c>
    </row>
    <row r="6" spans="1:14" x14ac:dyDescent="0.25">
      <c r="A6" s="8">
        <v>4</v>
      </c>
      <c r="B6" s="14">
        <f t="shared" si="4"/>
        <v>0.03</v>
      </c>
      <c r="C6" s="14">
        <f t="shared" si="0"/>
        <v>0.97</v>
      </c>
      <c r="D6" s="7">
        <f>B6*Inputs!$D$6+C6*Inputs!$D$11</f>
        <v>8.2100000000000006E-2</v>
      </c>
      <c r="E6" s="7">
        <f>B6*Inputs!$D$7+C6*Inputs!$D$12</f>
        <v>0.12389999999999998</v>
      </c>
      <c r="F6" s="15">
        <f>B6^2*Inputs!$D$7^2+C6^2*Inputs!$D$12^2+2*B6*C6*Inputs!$D$7*Inputs!$D$12*Inputs!$D$15</f>
        <v>1.4129009999999999E-2</v>
      </c>
      <c r="G6" s="7">
        <f t="shared" si="5"/>
        <v>0.11886551223967362</v>
      </c>
      <c r="H6" s="14">
        <f t="shared" si="6"/>
        <v>5.0344877603263616E-3</v>
      </c>
      <c r="I6" s="16">
        <f>IFERROR((D6-Inputs!$D$22)/G6,"")</f>
        <v>0.27005309946652484</v>
      </c>
      <c r="J6" s="14" t="e">
        <f t="shared" si="1"/>
        <v>#N/A</v>
      </c>
      <c r="K6" s="14" t="e">
        <f t="shared" si="2"/>
        <v>#N/A</v>
      </c>
      <c r="L6" s="14">
        <f t="shared" si="7"/>
        <v>0.11886551223967362</v>
      </c>
      <c r="M6" s="14">
        <f t="shared" si="8"/>
        <v>8.2100000000000006E-2</v>
      </c>
      <c r="N6" s="8" t="str">
        <f t="shared" si="3"/>
        <v/>
      </c>
    </row>
    <row r="7" spans="1:14" x14ac:dyDescent="0.25">
      <c r="A7" s="8">
        <v>5</v>
      </c>
      <c r="B7" s="9">
        <f t="shared" si="4"/>
        <v>0.04</v>
      </c>
      <c r="C7" s="9">
        <f t="shared" si="0"/>
        <v>0.96</v>
      </c>
      <c r="D7" s="10">
        <f>B7*Inputs!$D$6+C7*Inputs!$D$11</f>
        <v>8.2799999999999999E-2</v>
      </c>
      <c r="E7" s="10">
        <f>B7*Inputs!$D$7+C7*Inputs!$D$12</f>
        <v>0.12520000000000001</v>
      </c>
      <c r="F7" s="11">
        <f>B7^2*Inputs!$D$7^2+C7^2*Inputs!$D$12^2+2*B7*C7*Inputs!$D$7*Inputs!$D$12*Inputs!$D$15</f>
        <v>1.4062239999999998E-2</v>
      </c>
      <c r="G7" s="10">
        <f t="shared" si="5"/>
        <v>0.1185843159949915</v>
      </c>
      <c r="H7" s="9">
        <f t="shared" si="6"/>
        <v>6.6156840050085042E-3</v>
      </c>
      <c r="I7" s="12">
        <f>IFERROR((D7-Inputs!$D$22)/G7,"")</f>
        <v>0.27659644300166414</v>
      </c>
      <c r="J7" s="9" t="e">
        <f t="shared" si="1"/>
        <v>#N/A</v>
      </c>
      <c r="K7" s="9" t="e">
        <f t="shared" si="2"/>
        <v>#N/A</v>
      </c>
      <c r="L7" s="9">
        <f t="shared" si="7"/>
        <v>0.1185843159949915</v>
      </c>
      <c r="M7" s="9">
        <f t="shared" si="8"/>
        <v>8.2799999999999999E-2</v>
      </c>
      <c r="N7" s="13" t="str">
        <f t="shared" si="3"/>
        <v/>
      </c>
    </row>
    <row r="8" spans="1:14" x14ac:dyDescent="0.25">
      <c r="A8" s="8">
        <v>6</v>
      </c>
      <c r="B8" s="14">
        <f t="shared" si="4"/>
        <v>0.05</v>
      </c>
      <c r="C8" s="14">
        <f t="shared" si="0"/>
        <v>0.95</v>
      </c>
      <c r="D8" s="7">
        <f>B8*Inputs!$D$6+C8*Inputs!$D$11</f>
        <v>8.3499999999999991E-2</v>
      </c>
      <c r="E8" s="7">
        <f>B8*Inputs!$D$7+C8*Inputs!$D$12</f>
        <v>0.1265</v>
      </c>
      <c r="F8" s="15">
        <f>B8^2*Inputs!$D$7^2+C8^2*Inputs!$D$12^2+2*B8*C8*Inputs!$D$7*Inputs!$D$12*Inputs!$D$15</f>
        <v>1.4007249999999999E-2</v>
      </c>
      <c r="G8" s="7">
        <f t="shared" si="5"/>
        <v>0.11835222853837607</v>
      </c>
      <c r="H8" s="14">
        <f t="shared" si="6"/>
        <v>8.1477714616239316E-3</v>
      </c>
      <c r="I8" s="16">
        <f>IFERROR((D8-Inputs!$D$22)/G8,"")</f>
        <v>0.28305339420911296</v>
      </c>
      <c r="J8" s="14" t="e">
        <f t="shared" si="1"/>
        <v>#N/A</v>
      </c>
      <c r="K8" s="14" t="e">
        <f t="shared" si="2"/>
        <v>#N/A</v>
      </c>
      <c r="L8" s="14">
        <f t="shared" si="7"/>
        <v>0.11835222853837607</v>
      </c>
      <c r="M8" s="14">
        <f t="shared" si="8"/>
        <v>8.3499999999999991E-2</v>
      </c>
      <c r="N8" s="8" t="str">
        <f t="shared" si="3"/>
        <v/>
      </c>
    </row>
    <row r="9" spans="1:14" x14ac:dyDescent="0.25">
      <c r="A9" s="8">
        <v>7</v>
      </c>
      <c r="B9" s="9">
        <f t="shared" si="4"/>
        <v>0.06</v>
      </c>
      <c r="C9" s="9">
        <f t="shared" si="0"/>
        <v>0.94</v>
      </c>
      <c r="D9" s="10">
        <f>B9*Inputs!$D$6+C9*Inputs!$D$11</f>
        <v>8.4199999999999997E-2</v>
      </c>
      <c r="E9" s="10">
        <f>B9*Inputs!$D$7+C9*Inputs!$D$12</f>
        <v>0.12779999999999997</v>
      </c>
      <c r="F9" s="11">
        <f>B9^2*Inputs!$D$7^2+C9^2*Inputs!$D$12^2+2*B9*C9*Inputs!$D$7*Inputs!$D$12*Inputs!$D$15</f>
        <v>1.3964039999999997E-2</v>
      </c>
      <c r="G9" s="10">
        <f t="shared" si="5"/>
        <v>0.11816953922225472</v>
      </c>
      <c r="H9" s="9">
        <f t="shared" si="6"/>
        <v>9.6304607777452506E-3</v>
      </c>
      <c r="I9" s="12">
        <f>IFERROR((D9-Inputs!$D$22)/G9,"")</f>
        <v>0.28941468524876124</v>
      </c>
      <c r="J9" s="9" t="e">
        <f t="shared" si="1"/>
        <v>#N/A</v>
      </c>
      <c r="K9" s="9" t="e">
        <f t="shared" si="2"/>
        <v>#N/A</v>
      </c>
      <c r="L9" s="9">
        <f t="shared" si="7"/>
        <v>0.11816953922225472</v>
      </c>
      <c r="M9" s="9">
        <f t="shared" si="8"/>
        <v>8.4199999999999997E-2</v>
      </c>
      <c r="N9" s="13" t="str">
        <f t="shared" si="3"/>
        <v/>
      </c>
    </row>
    <row r="10" spans="1:14" x14ac:dyDescent="0.25">
      <c r="A10" s="8">
        <v>8</v>
      </c>
      <c r="B10" s="14">
        <f t="shared" si="4"/>
        <v>7.0000000000000007E-2</v>
      </c>
      <c r="C10" s="14">
        <f t="shared" si="0"/>
        <v>0.92999999999999994</v>
      </c>
      <c r="D10" s="7">
        <f>B10*Inputs!$D$6+C10*Inputs!$D$11</f>
        <v>8.4899999999999989E-2</v>
      </c>
      <c r="E10" s="7">
        <f>B10*Inputs!$D$7+C10*Inputs!$D$12</f>
        <v>0.12909999999999999</v>
      </c>
      <c r="F10" s="15">
        <f>B10^2*Inputs!$D$7^2+C10^2*Inputs!$D$12^2+2*B10*C10*Inputs!$D$7*Inputs!$D$12*Inputs!$D$15</f>
        <v>1.3932609999999998E-2</v>
      </c>
      <c r="G10" s="7">
        <f t="shared" si="5"/>
        <v>0.11803647741270491</v>
      </c>
      <c r="H10" s="14">
        <f t="shared" si="6"/>
        <v>1.106352258729508E-2</v>
      </c>
      <c r="I10" s="16">
        <f>IFERROR((D10-Inputs!$D$22)/G10,"")</f>
        <v>0.2956713108099201</v>
      </c>
      <c r="J10" s="14" t="e">
        <f t="shared" si="1"/>
        <v>#N/A</v>
      </c>
      <c r="K10" s="14" t="e">
        <f t="shared" si="2"/>
        <v>#N/A</v>
      </c>
      <c r="L10" s="14">
        <f t="shared" si="7"/>
        <v>0.11803647741270491</v>
      </c>
      <c r="M10" s="14">
        <f t="shared" si="8"/>
        <v>8.4899999999999989E-2</v>
      </c>
      <c r="N10" s="8" t="str">
        <f t="shared" si="3"/>
        <v/>
      </c>
    </row>
    <row r="11" spans="1:14" x14ac:dyDescent="0.25">
      <c r="A11" s="8">
        <v>9</v>
      </c>
      <c r="B11" s="9">
        <f t="shared" si="4"/>
        <v>0.08</v>
      </c>
      <c r="C11" s="9">
        <f t="shared" si="0"/>
        <v>0.92</v>
      </c>
      <c r="D11" s="10">
        <f>B11*Inputs!$D$6+C11*Inputs!$D$11</f>
        <v>8.5599999999999996E-2</v>
      </c>
      <c r="E11" s="10">
        <f>B11*Inputs!$D$7+C11*Inputs!$D$12</f>
        <v>0.13039999999999999</v>
      </c>
      <c r="F11" s="11">
        <f>B11^2*Inputs!$D$7^2+C11^2*Inputs!$D$12^2+2*B11*C11*Inputs!$D$7*Inputs!$D$12*Inputs!$D$15</f>
        <v>1.3912959999999999E-2</v>
      </c>
      <c r="G11" s="10">
        <f t="shared" si="5"/>
        <v>0.11795321106269213</v>
      </c>
      <c r="H11" s="9">
        <f t="shared" si="6"/>
        <v>1.2446788937307857E-2</v>
      </c>
      <c r="I11" s="12">
        <f>IFERROR((D11-Inputs!$D$22)/G11,"")</f>
        <v>0.30181458969420166</v>
      </c>
      <c r="J11" s="9" t="e">
        <f t="shared" si="1"/>
        <v>#N/A</v>
      </c>
      <c r="K11" s="9" t="e">
        <f t="shared" si="2"/>
        <v>#N/A</v>
      </c>
      <c r="L11" s="9">
        <f t="shared" si="7"/>
        <v>0.11795321106269213</v>
      </c>
      <c r="M11" s="9">
        <f t="shared" si="8"/>
        <v>8.5599999999999996E-2</v>
      </c>
      <c r="N11" s="13" t="str">
        <f t="shared" si="3"/>
        <v/>
      </c>
    </row>
    <row r="12" spans="1:14" x14ac:dyDescent="0.25">
      <c r="A12" s="8">
        <v>10</v>
      </c>
      <c r="B12" s="14">
        <f t="shared" si="4"/>
        <v>0.09</v>
      </c>
      <c r="C12" s="14">
        <f t="shared" si="0"/>
        <v>0.91</v>
      </c>
      <c r="D12" s="7">
        <f>B12*Inputs!$D$6+C12*Inputs!$D$11</f>
        <v>8.6300000000000002E-2</v>
      </c>
      <c r="E12" s="7">
        <f>B12*Inputs!$D$7+C12*Inputs!$D$12</f>
        <v>0.13170000000000001</v>
      </c>
      <c r="F12" s="15">
        <f>B12^2*Inputs!$D$7^2+C12^2*Inputs!$D$12^2+2*B12*C12*Inputs!$D$7*Inputs!$D$12*Inputs!$D$15</f>
        <v>1.390509E-2</v>
      </c>
      <c r="G12" s="7">
        <f t="shared" si="5"/>
        <v>0.11791984565797227</v>
      </c>
      <c r="H12" s="14">
        <f t="shared" si="6"/>
        <v>1.3780154342027742E-2</v>
      </c>
      <c r="I12" s="16">
        <f>IFERROR((D12-Inputs!$D$22)/G12,"")</f>
        <v>0.30783622381332254</v>
      </c>
      <c r="J12" s="14">
        <f>IF(D12&gt;=INDEX($D$3:$D$103,MATCH(MIN($G$3:$G$103),$G$3:$G$103,0)),G12,NA())</f>
        <v>0.11791984565797227</v>
      </c>
      <c r="K12" s="14">
        <f>IF(D12&gt;=INDEX($D$3:$D$103,MATCH(MIN($G$3:$G$103),$G$3:$G$103,0)),D12,NA())</f>
        <v>8.6300000000000002E-2</v>
      </c>
      <c r="L12" s="14">
        <f t="shared" si="7"/>
        <v>0.11791984565797227</v>
      </c>
      <c r="M12" s="14">
        <f>D12</f>
        <v>8.6300000000000002E-2</v>
      </c>
      <c r="N12" s="8" t="str">
        <f>IF(ABS(G12-MIN($G$3:$G$103))&lt;0.00001,"★ MVP","")</f>
        <v>★ MVP</v>
      </c>
    </row>
    <row r="13" spans="1:14" x14ac:dyDescent="0.25">
      <c r="A13" s="8">
        <v>11</v>
      </c>
      <c r="B13" s="9">
        <f t="shared" si="4"/>
        <v>0.1</v>
      </c>
      <c r="C13" s="9">
        <f t="shared" si="0"/>
        <v>0.9</v>
      </c>
      <c r="D13" s="10">
        <f>B13*Inputs!$D$6+C13*Inputs!$D$11</f>
        <v>8.7000000000000008E-2</v>
      </c>
      <c r="E13" s="10">
        <f>B13*Inputs!$D$7+C13*Inputs!$D$12</f>
        <v>0.13300000000000001</v>
      </c>
      <c r="F13" s="11">
        <f>B13^2*Inputs!$D$7^2+C13^2*Inputs!$D$12^2+2*B13*C13*Inputs!$D$7*Inputs!$D$12*Inputs!$D$15</f>
        <v>1.3909000000000001E-2</v>
      </c>
      <c r="G13" s="10">
        <f t="shared" si="5"/>
        <v>0.11793642355099633</v>
      </c>
      <c r="H13" s="9">
        <f t="shared" si="6"/>
        <v>1.5063576449003677E-2</v>
      </c>
      <c r="I13" s="12">
        <f>IFERROR((D13-Inputs!$D$22)/G13,"")</f>
        <v>0.31372835368372021</v>
      </c>
      <c r="J13" s="9">
        <f t="shared" si="1"/>
        <v>0.11793642355099633</v>
      </c>
      <c r="K13" s="9">
        <f t="shared" si="2"/>
        <v>8.7000000000000008E-2</v>
      </c>
      <c r="L13" s="9">
        <f t="shared" si="7"/>
        <v>0.11793642355099633</v>
      </c>
      <c r="M13" s="9">
        <f t="shared" si="8"/>
        <v>8.7000000000000008E-2</v>
      </c>
      <c r="N13" s="13" t="str">
        <f>IF(ABS(G13-MIN($G$3:$G$103))&lt;0.00001,"★ MVP","")</f>
        <v/>
      </c>
    </row>
    <row r="14" spans="1:14" x14ac:dyDescent="0.25">
      <c r="A14" s="8">
        <v>12</v>
      </c>
      <c r="B14" s="14">
        <f t="shared" si="4"/>
        <v>0.11</v>
      </c>
      <c r="C14" s="14">
        <f t="shared" si="0"/>
        <v>0.89</v>
      </c>
      <c r="D14" s="7">
        <f>B14*Inputs!$D$6+C14*Inputs!$D$11</f>
        <v>8.77E-2</v>
      </c>
      <c r="E14" s="7">
        <f>B14*Inputs!$D$7+C14*Inputs!$D$12</f>
        <v>0.1343</v>
      </c>
      <c r="F14" s="15">
        <f>B14^2*Inputs!$D$7^2+C14^2*Inputs!$D$12^2+2*B14*C14*Inputs!$D$7*Inputs!$D$12*Inputs!$D$15</f>
        <v>1.392469E-2</v>
      </c>
      <c r="G14" s="7">
        <f t="shared" si="5"/>
        <v>0.11800292369259331</v>
      </c>
      <c r="H14" s="14">
        <f t="shared" si="6"/>
        <v>1.6297076307406691E-2</v>
      </c>
      <c r="I14" s="16">
        <f>IFERROR((D14-Inputs!$D$22)/G14,"")</f>
        <v>0.31948360956048338</v>
      </c>
      <c r="J14" s="14">
        <f t="shared" si="1"/>
        <v>0.11800292369259331</v>
      </c>
      <c r="K14" s="14">
        <f t="shared" si="2"/>
        <v>8.77E-2</v>
      </c>
      <c r="L14" s="14">
        <f t="shared" si="7"/>
        <v>0.11800292369259331</v>
      </c>
      <c r="M14" s="14">
        <f t="shared" si="8"/>
        <v>8.77E-2</v>
      </c>
      <c r="N14" s="8" t="str">
        <f t="shared" si="3"/>
        <v/>
      </c>
    </row>
    <row r="15" spans="1:14" x14ac:dyDescent="0.25">
      <c r="A15" s="8">
        <v>13</v>
      </c>
      <c r="B15" s="9">
        <f t="shared" si="4"/>
        <v>0.12</v>
      </c>
      <c r="C15" s="9">
        <f t="shared" si="0"/>
        <v>0.88</v>
      </c>
      <c r="D15" s="10">
        <f>B15*Inputs!$D$6+C15*Inputs!$D$11</f>
        <v>8.8400000000000006E-2</v>
      </c>
      <c r="E15" s="10">
        <f>B15*Inputs!$D$7+C15*Inputs!$D$12</f>
        <v>0.1356</v>
      </c>
      <c r="F15" s="11">
        <f>B15^2*Inputs!$D$7^2+C15^2*Inputs!$D$12^2+2*B15*C15*Inputs!$D$7*Inputs!$D$12*Inputs!$D$15</f>
        <v>1.3952159999999998E-2</v>
      </c>
      <c r="G15" s="10">
        <f t="shared" si="5"/>
        <v>0.11811926176538692</v>
      </c>
      <c r="H15" s="9">
        <f t="shared" si="6"/>
        <v>1.7480738234613075E-2</v>
      </c>
      <c r="I15" s="12">
        <f>IFERROR((D15-Inputs!$D$22)/G15,"")</f>
        <v>0.32509515743733297</v>
      </c>
      <c r="J15" s="9">
        <f t="shared" si="1"/>
        <v>0.11811926176538692</v>
      </c>
      <c r="K15" s="9">
        <f t="shared" si="2"/>
        <v>8.8400000000000006E-2</v>
      </c>
      <c r="L15" s="9">
        <f t="shared" si="7"/>
        <v>0.11811926176538692</v>
      </c>
      <c r="M15" s="9">
        <f t="shared" si="8"/>
        <v>8.8400000000000006E-2</v>
      </c>
      <c r="N15" s="13" t="str">
        <f t="shared" si="3"/>
        <v/>
      </c>
    </row>
    <row r="16" spans="1:14" x14ac:dyDescent="0.25">
      <c r="A16" s="8">
        <v>14</v>
      </c>
      <c r="B16" s="14">
        <f t="shared" si="4"/>
        <v>0.13</v>
      </c>
      <c r="C16" s="14">
        <f t="shared" si="0"/>
        <v>0.87</v>
      </c>
      <c r="D16" s="7">
        <f>B16*Inputs!$D$6+C16*Inputs!$D$11</f>
        <v>8.9099999999999999E-2</v>
      </c>
      <c r="E16" s="7">
        <f>B16*Inputs!$D$7+C16*Inputs!$D$12</f>
        <v>0.13689999999999999</v>
      </c>
      <c r="F16" s="15">
        <f>B16^2*Inputs!$D$7^2+C16^2*Inputs!$D$12^2+2*B16*C16*Inputs!$D$7*Inputs!$D$12*Inputs!$D$15</f>
        <v>1.3991409999999999E-2</v>
      </c>
      <c r="G16" s="7">
        <f t="shared" si="5"/>
        <v>0.11828529071697799</v>
      </c>
      <c r="H16" s="14">
        <f t="shared" si="6"/>
        <v>1.8614709283022002E-2</v>
      </c>
      <c r="I16" s="16">
        <f>IFERROR((D16-Inputs!$D$22)/G16,"")</f>
        <v>0.33055673924456785</v>
      </c>
      <c r="J16" s="14">
        <f t="shared" si="1"/>
        <v>0.11828529071697799</v>
      </c>
      <c r="K16" s="14">
        <f t="shared" si="2"/>
        <v>8.9099999999999999E-2</v>
      </c>
      <c r="L16" s="14">
        <f t="shared" si="7"/>
        <v>0.11828529071697799</v>
      </c>
      <c r="M16" s="14">
        <f t="shared" si="8"/>
        <v>8.9099999999999999E-2</v>
      </c>
      <c r="N16" s="8" t="str">
        <f t="shared" si="3"/>
        <v/>
      </c>
    </row>
    <row r="17" spans="1:14" x14ac:dyDescent="0.25">
      <c r="A17" s="8">
        <v>15</v>
      </c>
      <c r="B17" s="9">
        <f t="shared" si="4"/>
        <v>0.14000000000000001</v>
      </c>
      <c r="C17" s="9">
        <f t="shared" si="0"/>
        <v>0.86</v>
      </c>
      <c r="D17" s="10">
        <f>B17*Inputs!$D$6+C17*Inputs!$D$11</f>
        <v>8.9800000000000005E-2</v>
      </c>
      <c r="E17" s="10">
        <f>B17*Inputs!$D$7+C17*Inputs!$D$12</f>
        <v>0.13819999999999999</v>
      </c>
      <c r="F17" s="11">
        <f>B17^2*Inputs!$D$7^2+C17^2*Inputs!$D$12^2+2*B17*C17*Inputs!$D$7*Inputs!$D$12*Inputs!$D$15</f>
        <v>1.404244E-2</v>
      </c>
      <c r="G17" s="10">
        <f t="shared" si="5"/>
        <v>0.11850080168505191</v>
      </c>
      <c r="H17" s="9">
        <f t="shared" si="6"/>
        <v>1.9699198314948083E-2</v>
      </c>
      <c r="I17" s="12">
        <f>IFERROR((D17-Inputs!$D$22)/G17,"")</f>
        <v>0.33586270669948143</v>
      </c>
      <c r="J17" s="9">
        <f t="shared" si="1"/>
        <v>0.11850080168505191</v>
      </c>
      <c r="K17" s="9">
        <f t="shared" si="2"/>
        <v>8.9800000000000005E-2</v>
      </c>
      <c r="L17" s="9">
        <f t="shared" si="7"/>
        <v>0.11850080168505191</v>
      </c>
      <c r="M17" s="9">
        <f t="shared" si="8"/>
        <v>8.9800000000000005E-2</v>
      </c>
      <c r="N17" s="13" t="str">
        <f t="shared" si="3"/>
        <v/>
      </c>
    </row>
    <row r="18" spans="1:14" x14ac:dyDescent="0.25">
      <c r="A18" s="8">
        <v>16</v>
      </c>
      <c r="B18" s="14">
        <f t="shared" si="4"/>
        <v>0.15</v>
      </c>
      <c r="C18" s="14">
        <f t="shared" si="0"/>
        <v>0.85</v>
      </c>
      <c r="D18" s="7">
        <f>B18*Inputs!$D$6+C18*Inputs!$D$11</f>
        <v>9.0499999999999997E-2</v>
      </c>
      <c r="E18" s="7">
        <f>B18*Inputs!$D$7+C18*Inputs!$D$12</f>
        <v>0.13949999999999999</v>
      </c>
      <c r="F18" s="15">
        <f>B18^2*Inputs!$D$7^2+C18^2*Inputs!$D$12^2+2*B18*C18*Inputs!$D$7*Inputs!$D$12*Inputs!$D$15</f>
        <v>1.4105249999999998E-2</v>
      </c>
      <c r="G18" s="7">
        <f t="shared" si="5"/>
        <v>0.11876552530090539</v>
      </c>
      <c r="H18" s="14">
        <f t="shared" si="6"/>
        <v>2.0734474699094591E-2</v>
      </c>
      <c r="I18" s="16">
        <f>IFERROR((D18-Inputs!$D$22)/G18,"")</f>
        <v>0.34100804839947313</v>
      </c>
      <c r="J18" s="14">
        <f t="shared" si="1"/>
        <v>0.11876552530090539</v>
      </c>
      <c r="K18" s="14">
        <f t="shared" si="2"/>
        <v>9.0499999999999997E-2</v>
      </c>
      <c r="L18" s="14">
        <f t="shared" si="7"/>
        <v>0.11876552530090539</v>
      </c>
      <c r="M18" s="14">
        <f t="shared" si="8"/>
        <v>9.0499999999999997E-2</v>
      </c>
      <c r="N18" s="8" t="str">
        <f t="shared" si="3"/>
        <v/>
      </c>
    </row>
    <row r="19" spans="1:14" x14ac:dyDescent="0.25">
      <c r="A19" s="8">
        <v>17</v>
      </c>
      <c r="B19" s="9">
        <f t="shared" si="4"/>
        <v>0.16</v>
      </c>
      <c r="C19" s="9">
        <f t="shared" si="0"/>
        <v>0.84</v>
      </c>
      <c r="D19" s="10">
        <f>B19*Inputs!$D$6+C19*Inputs!$D$11</f>
        <v>9.1200000000000003E-2</v>
      </c>
      <c r="E19" s="10">
        <f>B19*Inputs!$D$7+C19*Inputs!$D$12</f>
        <v>0.14079999999999998</v>
      </c>
      <c r="F19" s="11">
        <f>B19^2*Inputs!$D$7^2+C19^2*Inputs!$D$12^2+2*B19*C19*Inputs!$D$7*Inputs!$D$12*Inputs!$D$15</f>
        <v>1.4179839999999999E-2</v>
      </c>
      <c r="G19" s="10">
        <f t="shared" si="5"/>
        <v>0.11907913335257357</v>
      </c>
      <c r="H19" s="9">
        <f t="shared" si="6"/>
        <v>2.1720866647426409E-2</v>
      </c>
      <c r="I19" s="12">
        <f>IFERROR((D19-Inputs!$D$22)/G19,"")</f>
        <v>0.34598840989221541</v>
      </c>
      <c r="J19" s="9">
        <f>IF(D19&gt;=INDEX($D$3:$D$103,MATCH(MIN($G$3:$G$103),$G$3:$G$103,0)),G19,NA())</f>
        <v>0.11907913335257357</v>
      </c>
      <c r="K19" s="9">
        <f t="shared" si="2"/>
        <v>9.1200000000000003E-2</v>
      </c>
      <c r="L19" s="9">
        <f t="shared" si="7"/>
        <v>0.11907913335257357</v>
      </c>
      <c r="M19" s="9">
        <f t="shared" si="8"/>
        <v>9.1200000000000003E-2</v>
      </c>
      <c r="N19" s="13" t="str">
        <f t="shared" si="3"/>
        <v/>
      </c>
    </row>
    <row r="20" spans="1:14" x14ac:dyDescent="0.25">
      <c r="A20" s="8">
        <v>18</v>
      </c>
      <c r="B20" s="14">
        <f t="shared" si="4"/>
        <v>0.17</v>
      </c>
      <c r="C20" s="14">
        <f t="shared" si="0"/>
        <v>0.83</v>
      </c>
      <c r="D20" s="7">
        <f>B20*Inputs!$D$6+C20*Inputs!$D$11</f>
        <v>9.1900000000000009E-2</v>
      </c>
      <c r="E20" s="7">
        <f>B20*Inputs!$D$7+C20*Inputs!$D$12</f>
        <v>0.1421</v>
      </c>
      <c r="F20" s="15">
        <f>B20^2*Inputs!$D$7^2+C20^2*Inputs!$D$12^2+2*B20*C20*Inputs!$D$7*Inputs!$D$12*Inputs!$D$15</f>
        <v>1.426621E-2</v>
      </c>
      <c r="G20" s="7">
        <f t="shared" si="5"/>
        <v>0.11944124078391015</v>
      </c>
      <c r="H20" s="14">
        <f t="shared" si="6"/>
        <v>2.2658759216089855E-2</v>
      </c>
      <c r="I20" s="16">
        <f>IFERROR((D20-Inputs!$D$22)/G20,"")</f>
        <v>0.35080010660475597</v>
      </c>
      <c r="J20" s="14">
        <f t="shared" si="1"/>
        <v>0.11944124078391015</v>
      </c>
      <c r="K20" s="14">
        <f t="shared" si="2"/>
        <v>9.1900000000000009E-2</v>
      </c>
      <c r="L20" s="14">
        <f t="shared" si="7"/>
        <v>0.11944124078391015</v>
      </c>
      <c r="M20" s="14">
        <f t="shared" si="8"/>
        <v>9.1900000000000009E-2</v>
      </c>
      <c r="N20" s="8" t="str">
        <f t="shared" si="3"/>
        <v/>
      </c>
    </row>
    <row r="21" spans="1:14" x14ac:dyDescent="0.25">
      <c r="A21" s="8">
        <v>19</v>
      </c>
      <c r="B21" s="9">
        <f t="shared" si="4"/>
        <v>0.18</v>
      </c>
      <c r="C21" s="9">
        <f t="shared" si="0"/>
        <v>0.82000000000000006</v>
      </c>
      <c r="D21" s="10">
        <f>B21*Inputs!$D$6+C21*Inputs!$D$11</f>
        <v>9.2600000000000002E-2</v>
      </c>
      <c r="E21" s="10">
        <f>B21*Inputs!$D$7+C21*Inputs!$D$12</f>
        <v>0.1434</v>
      </c>
      <c r="F21" s="11">
        <f>B21^2*Inputs!$D$7^2+C21^2*Inputs!$D$12^2+2*B21*C21*Inputs!$D$7*Inputs!$D$12*Inputs!$D$15</f>
        <v>1.4364360000000003E-2</v>
      </c>
      <c r="G21" s="10">
        <f t="shared" si="5"/>
        <v>0.1198514080017419</v>
      </c>
      <c r="H21" s="9">
        <f t="shared" si="6"/>
        <v>2.3548591998258095E-2</v>
      </c>
      <c r="I21" s="12">
        <f>IFERROR((D21-Inputs!$D$22)/G21,"")</f>
        <v>0.35544012965939337</v>
      </c>
      <c r="J21" s="9">
        <f>IF(D21&gt;=INDEX($D$3:$D$103,MATCH(MIN($G$3:$G$103),$G$3:$G$103,0)),G21,NA())</f>
        <v>0.1198514080017419</v>
      </c>
      <c r="K21" s="9">
        <f>IF(D21&gt;=INDEX($D$3:$D$103,MATCH(MIN($G$3:$G$103),$G$3:$G$103,0)),D21,NA())</f>
        <v>9.2600000000000002E-2</v>
      </c>
      <c r="L21" s="9">
        <f t="shared" si="7"/>
        <v>0.1198514080017419</v>
      </c>
      <c r="M21" s="9">
        <f t="shared" si="8"/>
        <v>9.2600000000000002E-2</v>
      </c>
      <c r="N21" s="13" t="str">
        <f t="shared" si="3"/>
        <v/>
      </c>
    </row>
    <row r="22" spans="1:14" x14ac:dyDescent="0.25">
      <c r="A22" s="8">
        <v>20</v>
      </c>
      <c r="B22" s="14">
        <f t="shared" si="4"/>
        <v>0.19</v>
      </c>
      <c r="C22" s="14">
        <f t="shared" si="0"/>
        <v>0.81</v>
      </c>
      <c r="D22" s="7">
        <f>B22*Inputs!$D$6+C22*Inputs!$D$11</f>
        <v>9.3300000000000008E-2</v>
      </c>
      <c r="E22" s="7">
        <f>B22*Inputs!$D$7+C22*Inputs!$D$12</f>
        <v>0.1447</v>
      </c>
      <c r="F22" s="15">
        <f>B22^2*Inputs!$D$7^2+C22^2*Inputs!$D$12^2+2*B22*C22*Inputs!$D$7*Inputs!$D$12*Inputs!$D$15</f>
        <v>1.4474290000000001E-2</v>
      </c>
      <c r="G22" s="7">
        <f t="shared" si="5"/>
        <v>0.12030914345967227</v>
      </c>
      <c r="H22" s="14">
        <f t="shared" si="6"/>
        <v>2.4390856540327729E-2</v>
      </c>
      <c r="I22" s="16">
        <f>IFERROR((D22-Inputs!$D$22)/G22,"")</f>
        <v>0.359906144743805</v>
      </c>
      <c r="J22" s="14">
        <f t="shared" si="1"/>
        <v>0.12030914345967227</v>
      </c>
      <c r="K22" s="14">
        <f t="shared" si="2"/>
        <v>9.3300000000000008E-2</v>
      </c>
      <c r="L22" s="14">
        <f t="shared" si="7"/>
        <v>0.12030914345967227</v>
      </c>
      <c r="M22" s="14">
        <f t="shared" si="8"/>
        <v>9.3300000000000008E-2</v>
      </c>
      <c r="N22" s="8" t="str">
        <f t="shared" si="3"/>
        <v/>
      </c>
    </row>
    <row r="23" spans="1:14" x14ac:dyDescent="0.25">
      <c r="A23" s="8">
        <v>21</v>
      </c>
      <c r="B23" s="9">
        <f t="shared" si="4"/>
        <v>0.2</v>
      </c>
      <c r="C23" s="9">
        <f t="shared" si="0"/>
        <v>0.8</v>
      </c>
      <c r="D23" s="10">
        <f>B23*Inputs!$D$6+C23*Inputs!$D$11</f>
        <v>9.4E-2</v>
      </c>
      <c r="E23" s="10">
        <f>B23*Inputs!$D$7+C23*Inputs!$D$12</f>
        <v>0.14600000000000002</v>
      </c>
      <c r="F23" s="11">
        <f>B23^2*Inputs!$D$7^2+C23^2*Inputs!$D$12^2+2*B23*C23*Inputs!$D$7*Inputs!$D$12*Inputs!$D$15</f>
        <v>1.4596000000000003E-2</v>
      </c>
      <c r="G23" s="10">
        <f t="shared" si="5"/>
        <v>0.12081390648431166</v>
      </c>
      <c r="H23" s="9">
        <f t="shared" si="6"/>
        <v>2.518609351568836E-2</v>
      </c>
      <c r="I23" s="12">
        <f>IFERROR((D23-Inputs!$D$22)/G23,"")</f>
        <v>0.36419648433198903</v>
      </c>
      <c r="J23" s="9">
        <f t="shared" si="1"/>
        <v>0.12081390648431166</v>
      </c>
      <c r="K23" s="9">
        <f t="shared" si="2"/>
        <v>9.4E-2</v>
      </c>
      <c r="L23" s="9">
        <f t="shared" si="7"/>
        <v>0.12081390648431166</v>
      </c>
      <c r="M23" s="9">
        <f t="shared" si="8"/>
        <v>9.4E-2</v>
      </c>
      <c r="N23" s="13" t="str">
        <f t="shared" si="3"/>
        <v/>
      </c>
    </row>
    <row r="24" spans="1:14" x14ac:dyDescent="0.25">
      <c r="A24" s="8">
        <v>22</v>
      </c>
      <c r="B24" s="14">
        <f t="shared" si="4"/>
        <v>0.21</v>
      </c>
      <c r="C24" s="14">
        <f t="shared" si="0"/>
        <v>0.79</v>
      </c>
      <c r="D24" s="7">
        <f>B24*Inputs!$D$6+C24*Inputs!$D$11</f>
        <v>9.4700000000000006E-2</v>
      </c>
      <c r="E24" s="7">
        <f>B24*Inputs!$D$7+C24*Inputs!$D$12</f>
        <v>0.14729999999999999</v>
      </c>
      <c r="F24" s="15">
        <f>B24^2*Inputs!$D$7^2+C24^2*Inputs!$D$12^2+2*B24*C24*Inputs!$D$7*Inputs!$D$12*Inputs!$D$15</f>
        <v>1.4729490000000001E-2</v>
      </c>
      <c r="G24" s="7">
        <f t="shared" si="5"/>
        <v>0.12136511030769923</v>
      </c>
      <c r="H24" s="14">
        <f t="shared" si="6"/>
        <v>2.5934889692300761E-2</v>
      </c>
      <c r="I24" s="16">
        <f>IFERROR((D24-Inputs!$D$22)/G24,"")</f>
        <v>0.36831013366750348</v>
      </c>
      <c r="J24" s="14">
        <f t="shared" si="1"/>
        <v>0.12136511030769923</v>
      </c>
      <c r="K24" s="14">
        <f t="shared" si="2"/>
        <v>9.4700000000000006E-2</v>
      </c>
      <c r="L24" s="14">
        <f t="shared" si="7"/>
        <v>0.12136511030769923</v>
      </c>
      <c r="M24" s="14">
        <f t="shared" si="8"/>
        <v>9.4700000000000006E-2</v>
      </c>
      <c r="N24" s="8" t="str">
        <f t="shared" si="3"/>
        <v/>
      </c>
    </row>
    <row r="25" spans="1:14" x14ac:dyDescent="0.25">
      <c r="A25" s="8">
        <v>23</v>
      </c>
      <c r="B25" s="9">
        <f t="shared" si="4"/>
        <v>0.22</v>
      </c>
      <c r="C25" s="9">
        <f t="shared" si="0"/>
        <v>0.78</v>
      </c>
      <c r="D25" s="10">
        <f>B25*Inputs!$D$6+C25*Inputs!$D$11</f>
        <v>9.5400000000000013E-2</v>
      </c>
      <c r="E25" s="10">
        <f>B25*Inputs!$D$7+C25*Inputs!$D$12</f>
        <v>0.14860000000000001</v>
      </c>
      <c r="F25" s="11">
        <f>B25^2*Inputs!$D$7^2+C25^2*Inputs!$D$12^2+2*B25*C25*Inputs!$D$7*Inputs!$D$12*Inputs!$D$15</f>
        <v>1.4874759999999999E-2</v>
      </c>
      <c r="G25" s="10">
        <f t="shared" si="5"/>
        <v>0.12196212526846192</v>
      </c>
      <c r="H25" s="9">
        <f t="shared" si="6"/>
        <v>2.6637874731538086E-2</v>
      </c>
      <c r="I25" s="12">
        <f>IFERROR((D25-Inputs!$D$22)/G25,"")</f>
        <v>0.37224671101840789</v>
      </c>
      <c r="J25" s="9">
        <f t="shared" si="1"/>
        <v>0.12196212526846192</v>
      </c>
      <c r="K25" s="9">
        <f t="shared" si="2"/>
        <v>9.5400000000000013E-2</v>
      </c>
      <c r="L25" s="9">
        <f t="shared" si="7"/>
        <v>0.12196212526846192</v>
      </c>
      <c r="M25" s="9">
        <f t="shared" si="8"/>
        <v>9.5400000000000013E-2</v>
      </c>
      <c r="N25" s="13" t="str">
        <f t="shared" si="3"/>
        <v/>
      </c>
    </row>
    <row r="26" spans="1:14" x14ac:dyDescent="0.25">
      <c r="A26" s="8">
        <v>24</v>
      </c>
      <c r="B26" s="14">
        <f t="shared" si="4"/>
        <v>0.23</v>
      </c>
      <c r="C26" s="14">
        <f t="shared" si="0"/>
        <v>0.77</v>
      </c>
      <c r="D26" s="7">
        <f>B26*Inputs!$D$6+C26*Inputs!$D$11</f>
        <v>9.6100000000000005E-2</v>
      </c>
      <c r="E26" s="7">
        <f>B26*Inputs!$D$7+C26*Inputs!$D$12</f>
        <v>0.14990000000000001</v>
      </c>
      <c r="F26" s="15">
        <f>B26^2*Inputs!$D$7^2+C26^2*Inputs!$D$12^2+2*B26*C26*Inputs!$D$7*Inputs!$D$12*Inputs!$D$15</f>
        <v>1.503181E-2</v>
      </c>
      <c r="G26" s="7">
        <f t="shared" si="5"/>
        <v>0.12260428214381421</v>
      </c>
      <c r="H26" s="14">
        <f t="shared" si="6"/>
        <v>2.72957178561858E-2</v>
      </c>
      <c r="I26" s="16">
        <f>IFERROR((D26-Inputs!$D$22)/G26,"")</f>
        <v>0.37600644279230749</v>
      </c>
      <c r="J26" s="14">
        <f t="shared" si="1"/>
        <v>0.12260428214381421</v>
      </c>
      <c r="K26" s="14">
        <f t="shared" si="2"/>
        <v>9.6100000000000005E-2</v>
      </c>
      <c r="L26" s="14">
        <f t="shared" si="7"/>
        <v>0.12260428214381421</v>
      </c>
      <c r="M26" s="14">
        <f t="shared" si="8"/>
        <v>9.6100000000000005E-2</v>
      </c>
      <c r="N26" s="8" t="str">
        <f t="shared" si="3"/>
        <v/>
      </c>
    </row>
    <row r="27" spans="1:14" x14ac:dyDescent="0.25">
      <c r="A27" s="8">
        <v>25</v>
      </c>
      <c r="B27" s="9">
        <f t="shared" si="4"/>
        <v>0.24</v>
      </c>
      <c r="C27" s="9">
        <f t="shared" si="0"/>
        <v>0.76</v>
      </c>
      <c r="D27" s="10">
        <f>B27*Inputs!$D$6+C27*Inputs!$D$11</f>
        <v>9.6799999999999997E-2</v>
      </c>
      <c r="E27" s="10">
        <f>B27*Inputs!$D$7+C27*Inputs!$D$12</f>
        <v>0.1512</v>
      </c>
      <c r="F27" s="11">
        <f>B27^2*Inputs!$D$7^2+C27^2*Inputs!$D$12^2+2*B27*C27*Inputs!$D$7*Inputs!$D$12*Inputs!$D$15</f>
        <v>1.5200640000000001E-2</v>
      </c>
      <c r="G27" s="10">
        <f t="shared" si="5"/>
        <v>0.1232908755747967</v>
      </c>
      <c r="H27" s="9">
        <f t="shared" si="6"/>
        <v>2.7909124425203297E-2</v>
      </c>
      <c r="I27" s="12">
        <f>IFERROR((D27-Inputs!$D$22)/G27,"")</f>
        <v>0.37959013415885673</v>
      </c>
      <c r="J27" s="9">
        <f t="shared" si="1"/>
        <v>0.1232908755747967</v>
      </c>
      <c r="K27" s="9">
        <f t="shared" si="2"/>
        <v>9.6799999999999997E-2</v>
      </c>
      <c r="L27" s="9">
        <f t="shared" si="7"/>
        <v>0.1232908755747967</v>
      </c>
      <c r="M27" s="9">
        <f t="shared" si="8"/>
        <v>9.6799999999999997E-2</v>
      </c>
      <c r="N27" s="13" t="str">
        <f t="shared" si="3"/>
        <v/>
      </c>
    </row>
    <row r="28" spans="1:14" x14ac:dyDescent="0.25">
      <c r="A28" s="8">
        <v>26</v>
      </c>
      <c r="B28" s="14">
        <f t="shared" si="4"/>
        <v>0.25</v>
      </c>
      <c r="C28" s="14">
        <f t="shared" si="0"/>
        <v>0.75</v>
      </c>
      <c r="D28" s="7">
        <f>B28*Inputs!$D$6+C28*Inputs!$D$11</f>
        <v>9.7500000000000003E-2</v>
      </c>
      <c r="E28" s="7">
        <f>B28*Inputs!$D$7+C28*Inputs!$D$12</f>
        <v>0.1525</v>
      </c>
      <c r="F28" s="15">
        <f>B28^2*Inputs!$D$7^2+C28^2*Inputs!$D$12^2+2*B28*C28*Inputs!$D$7*Inputs!$D$12*Inputs!$D$15</f>
        <v>1.5381249999999999E-2</v>
      </c>
      <c r="G28" s="7">
        <f t="shared" si="5"/>
        <v>0.12402116754812462</v>
      </c>
      <c r="H28" s="14">
        <f t="shared" si="6"/>
        <v>2.847883245187538E-2</v>
      </c>
      <c r="I28" s="16">
        <f>IFERROR((D28-Inputs!$D$22)/G28,"")</f>
        <v>0.38299913586580542</v>
      </c>
      <c r="J28" s="14">
        <f t="shared" si="1"/>
        <v>0.12402116754812462</v>
      </c>
      <c r="K28" s="14">
        <f t="shared" si="2"/>
        <v>9.7500000000000003E-2</v>
      </c>
      <c r="L28" s="14">
        <f t="shared" si="7"/>
        <v>0.12402116754812462</v>
      </c>
      <c r="M28" s="14">
        <f t="shared" si="8"/>
        <v>9.7500000000000003E-2</v>
      </c>
      <c r="N28" s="8" t="str">
        <f t="shared" si="3"/>
        <v/>
      </c>
    </row>
    <row r="29" spans="1:14" x14ac:dyDescent="0.25">
      <c r="A29" s="8">
        <v>27</v>
      </c>
      <c r="B29" s="9">
        <f t="shared" si="4"/>
        <v>0.26</v>
      </c>
      <c r="C29" s="9">
        <f t="shared" si="0"/>
        <v>0.74</v>
      </c>
      <c r="D29" s="10">
        <f>B29*Inputs!$D$6+C29*Inputs!$D$11</f>
        <v>9.820000000000001E-2</v>
      </c>
      <c r="E29" s="10">
        <f>B29*Inputs!$D$7+C29*Inputs!$D$12</f>
        <v>0.15379999999999999</v>
      </c>
      <c r="F29" s="11">
        <f>B29^2*Inputs!$D$7^2+C29^2*Inputs!$D$12^2+2*B29*C29*Inputs!$D$7*Inputs!$D$12*Inputs!$D$15</f>
        <v>1.557364E-2</v>
      </c>
      <c r="G29" s="10">
        <f t="shared" si="5"/>
        <v>0.12479439089959131</v>
      </c>
      <c r="H29" s="9">
        <f t="shared" si="6"/>
        <v>2.9005609100408683E-2</v>
      </c>
      <c r="I29" s="12">
        <f>IFERROR((D29-Inputs!$D$22)/G29,"")</f>
        <v>0.38623530795371552</v>
      </c>
      <c r="J29" s="9">
        <f t="shared" si="1"/>
        <v>0.12479439089959131</v>
      </c>
      <c r="K29" s="9">
        <f t="shared" si="2"/>
        <v>9.820000000000001E-2</v>
      </c>
      <c r="L29" s="9">
        <f t="shared" si="7"/>
        <v>0.12479439089959131</v>
      </c>
      <c r="M29" s="9">
        <f t="shared" si="8"/>
        <v>9.820000000000001E-2</v>
      </c>
      <c r="N29" s="13" t="str">
        <f t="shared" si="3"/>
        <v/>
      </c>
    </row>
    <row r="30" spans="1:14" x14ac:dyDescent="0.25">
      <c r="A30" s="8">
        <v>28</v>
      </c>
      <c r="B30" s="14">
        <f t="shared" si="4"/>
        <v>0.27</v>
      </c>
      <c r="C30" s="14">
        <f t="shared" si="0"/>
        <v>0.73</v>
      </c>
      <c r="D30" s="7">
        <f>B30*Inputs!$D$6+C30*Inputs!$D$11</f>
        <v>9.8900000000000002E-2</v>
      </c>
      <c r="E30" s="7">
        <f>B30*Inputs!$D$7+C30*Inputs!$D$12</f>
        <v>0.15510000000000002</v>
      </c>
      <c r="F30" s="15">
        <f>B30^2*Inputs!$D$7^2+C30^2*Inputs!$D$12^2+2*B30*C30*Inputs!$D$7*Inputs!$D$12*Inputs!$D$15</f>
        <v>1.577781E-2</v>
      </c>
      <c r="G30" s="7">
        <f t="shared" si="5"/>
        <v>0.12560975280606199</v>
      </c>
      <c r="H30" s="14">
        <f t="shared" si="6"/>
        <v>2.949024719393803E-2</v>
      </c>
      <c r="I30" s="16">
        <f>IFERROR((D30-Inputs!$D$22)/G30,"")</f>
        <v>0.3893009810750942</v>
      </c>
      <c r="J30" s="14">
        <f t="shared" si="1"/>
        <v>0.12560975280606199</v>
      </c>
      <c r="K30" s="14">
        <f t="shared" si="2"/>
        <v>9.8900000000000002E-2</v>
      </c>
      <c r="L30" s="14">
        <f t="shared" si="7"/>
        <v>0.12560975280606199</v>
      </c>
      <c r="M30" s="14">
        <f t="shared" si="8"/>
        <v>9.8900000000000002E-2</v>
      </c>
      <c r="N30" s="8" t="str">
        <f t="shared" si="3"/>
        <v/>
      </c>
    </row>
    <row r="31" spans="1:14" x14ac:dyDescent="0.25">
      <c r="A31" s="8">
        <v>29</v>
      </c>
      <c r="B31" s="9">
        <f t="shared" si="4"/>
        <v>0.28000000000000003</v>
      </c>
      <c r="C31" s="9">
        <f t="shared" si="0"/>
        <v>0.72</v>
      </c>
      <c r="D31" s="10">
        <f>B31*Inputs!$D$6+C31*Inputs!$D$11</f>
        <v>9.9599999999999994E-2</v>
      </c>
      <c r="E31" s="10">
        <f>B31*Inputs!$D$7+C31*Inputs!$D$12</f>
        <v>0.15639999999999998</v>
      </c>
      <c r="F31" s="11">
        <f>B31^2*Inputs!$D$7^2+C31^2*Inputs!$D$12^2+2*B31*C31*Inputs!$D$7*Inputs!$D$12*Inputs!$D$15</f>
        <v>1.5993760000000003E-2</v>
      </c>
      <c r="G31" s="10">
        <f t="shared" si="5"/>
        <v>0.12646643823560463</v>
      </c>
      <c r="H31" s="9">
        <f t="shared" si="6"/>
        <v>2.993356176439535E-2</v>
      </c>
      <c r="I31" s="12">
        <f>IFERROR((D31-Inputs!$D$22)/G31,"")</f>
        <v>0.39219891610765623</v>
      </c>
      <c r="J31" s="9">
        <f t="shared" si="1"/>
        <v>0.12646643823560463</v>
      </c>
      <c r="K31" s="9">
        <f t="shared" si="2"/>
        <v>9.9599999999999994E-2</v>
      </c>
      <c r="L31" s="9">
        <f t="shared" si="7"/>
        <v>0.12646643823560463</v>
      </c>
      <c r="M31" s="9">
        <f t="shared" si="8"/>
        <v>9.9599999999999994E-2</v>
      </c>
      <c r="N31" s="13" t="str">
        <f t="shared" si="3"/>
        <v/>
      </c>
    </row>
    <row r="32" spans="1:14" x14ac:dyDescent="0.25">
      <c r="A32" s="8">
        <v>30</v>
      </c>
      <c r="B32" s="14">
        <f t="shared" si="4"/>
        <v>0.28999999999999998</v>
      </c>
      <c r="C32" s="14">
        <f t="shared" si="0"/>
        <v>0.71</v>
      </c>
      <c r="D32" s="7">
        <f>B32*Inputs!$D$6+C32*Inputs!$D$11</f>
        <v>0.1003</v>
      </c>
      <c r="E32" s="7">
        <f>B32*Inputs!$D$7+C32*Inputs!$D$12</f>
        <v>0.15770000000000001</v>
      </c>
      <c r="F32" s="15">
        <f>B32^2*Inputs!$D$7^2+C32^2*Inputs!$D$12^2+2*B32*C32*Inputs!$D$7*Inputs!$D$12*Inputs!$D$15</f>
        <v>1.6221489999999998E-2</v>
      </c>
      <c r="G32" s="7">
        <f t="shared" si="5"/>
        <v>0.12736361332814014</v>
      </c>
      <c r="H32" s="14">
        <f t="shared" si="6"/>
        <v>3.0336386671859866E-2</v>
      </c>
      <c r="I32" s="16">
        <f>IFERROR((D32-Inputs!$D$22)/G32,"")</f>
        <v>0.39493226272096149</v>
      </c>
      <c r="J32" s="14">
        <f t="shared" si="1"/>
        <v>0.12736361332814014</v>
      </c>
      <c r="K32" s="14">
        <f t="shared" si="2"/>
        <v>0.1003</v>
      </c>
      <c r="L32" s="14">
        <f t="shared" si="7"/>
        <v>0.12736361332814014</v>
      </c>
      <c r="M32" s="14">
        <f t="shared" si="8"/>
        <v>0.1003</v>
      </c>
      <c r="N32" s="8" t="str">
        <f t="shared" si="3"/>
        <v/>
      </c>
    </row>
    <row r="33" spans="1:14" x14ac:dyDescent="0.25">
      <c r="A33" s="8">
        <v>31</v>
      </c>
      <c r="B33" s="9">
        <f t="shared" si="4"/>
        <v>0.3</v>
      </c>
      <c r="C33" s="9">
        <f t="shared" si="0"/>
        <v>0.7</v>
      </c>
      <c r="D33" s="10">
        <f>B33*Inputs!$D$6+C33*Inputs!$D$11</f>
        <v>0.10099999999999999</v>
      </c>
      <c r="E33" s="10">
        <f>B33*Inputs!$D$7+C33*Inputs!$D$12</f>
        <v>0.15899999999999997</v>
      </c>
      <c r="F33" s="11">
        <f>B33^2*Inputs!$D$7^2+C33^2*Inputs!$D$12^2+2*B33*C33*Inputs!$D$7*Inputs!$D$12*Inputs!$D$15</f>
        <v>1.6460999999999996E-2</v>
      </c>
      <c r="G33" s="10">
        <f t="shared" si="5"/>
        <v>0.12830042868205857</v>
      </c>
      <c r="H33" s="9">
        <f t="shared" si="6"/>
        <v>3.0699571317941404E-2</v>
      </c>
      <c r="I33" s="12">
        <f>IFERROR((D33-Inputs!$D$22)/G33,"")</f>
        <v>0.39750451751321225</v>
      </c>
      <c r="J33" s="9">
        <f t="shared" si="1"/>
        <v>0.12830042868205857</v>
      </c>
      <c r="K33" s="9">
        <f t="shared" si="2"/>
        <v>0.10099999999999999</v>
      </c>
      <c r="L33" s="9">
        <f t="shared" si="7"/>
        <v>0.12830042868205857</v>
      </c>
      <c r="M33" s="9">
        <f t="shared" si="8"/>
        <v>0.10099999999999999</v>
      </c>
      <c r="N33" s="13" t="str">
        <f t="shared" si="3"/>
        <v/>
      </c>
    </row>
    <row r="34" spans="1:14" x14ac:dyDescent="0.25">
      <c r="A34" s="8">
        <v>32</v>
      </c>
      <c r="B34" s="14">
        <f t="shared" si="4"/>
        <v>0.31</v>
      </c>
      <c r="C34" s="14">
        <f t="shared" si="0"/>
        <v>0.69</v>
      </c>
      <c r="D34" s="7">
        <f>B34*Inputs!$D$6+C34*Inputs!$D$11</f>
        <v>0.1017</v>
      </c>
      <c r="E34" s="7">
        <f>B34*Inputs!$D$7+C34*Inputs!$D$12</f>
        <v>0.1603</v>
      </c>
      <c r="F34" s="15">
        <f>B34^2*Inputs!$D$7^2+C34^2*Inputs!$D$12^2+2*B34*C34*Inputs!$D$7*Inputs!$D$12*Inputs!$D$15</f>
        <v>1.6712289999999998E-2</v>
      </c>
      <c r="G34" s="7">
        <f t="shared" si="5"/>
        <v>0.12927602252544745</v>
      </c>
      <c r="H34" s="14">
        <f t="shared" si="6"/>
        <v>3.1023977474552544E-2</v>
      </c>
      <c r="I34" s="16">
        <f>IFERROR((D34-Inputs!$D$22)/G34,"")</f>
        <v>0.39991948228313617</v>
      </c>
      <c r="J34" s="14">
        <f t="shared" si="1"/>
        <v>0.12927602252544745</v>
      </c>
      <c r="K34" s="14">
        <f t="shared" si="2"/>
        <v>0.1017</v>
      </c>
      <c r="L34" s="14">
        <f t="shared" si="7"/>
        <v>0.12927602252544745</v>
      </c>
      <c r="M34" s="14">
        <f t="shared" si="8"/>
        <v>0.1017</v>
      </c>
      <c r="N34" s="8" t="str">
        <f t="shared" si="3"/>
        <v/>
      </c>
    </row>
    <row r="35" spans="1:14" x14ac:dyDescent="0.25">
      <c r="A35" s="8">
        <v>33</v>
      </c>
      <c r="B35" s="9">
        <f t="shared" ref="B35:B66" si="9">(ROW()-3)*0.01</f>
        <v>0.32</v>
      </c>
      <c r="C35" s="9">
        <f t="shared" ref="C35:C66" si="10">1-B35</f>
        <v>0.67999999999999994</v>
      </c>
      <c r="D35" s="10">
        <f>B35*Inputs!$D$6+C35*Inputs!$D$11</f>
        <v>0.10239999999999999</v>
      </c>
      <c r="E35" s="10">
        <f>B35*Inputs!$D$7+C35*Inputs!$D$12</f>
        <v>0.16159999999999999</v>
      </c>
      <c r="F35" s="11">
        <f>B35^2*Inputs!$D$7^2+C35^2*Inputs!$D$12^2+2*B35*C35*Inputs!$D$7*Inputs!$D$12*Inputs!$D$15</f>
        <v>1.6975359999999998E-2</v>
      </c>
      <c r="G35" s="10">
        <f t="shared" ref="G35:G66" si="11">SQRT(F35)</f>
        <v>0.13028952375383063</v>
      </c>
      <c r="H35" s="9">
        <f t="shared" ref="H35:H66" si="12">E35-G35</f>
        <v>3.1310476246169366E-2</v>
      </c>
      <c r="I35" s="12">
        <f>IFERROR((D35-Inputs!$D$22)/G35,"")</f>
        <v>0.40218122294317915</v>
      </c>
      <c r="J35" s="9">
        <f t="shared" ref="J35:J66" si="13">IF(D35&gt;=INDEX($D$3:$D$103,MATCH(MIN($G$3:$G$103),$G$3:$G$103,0)),G35,NA())</f>
        <v>0.13028952375383063</v>
      </c>
      <c r="K35" s="9">
        <f t="shared" ref="K35:K66" si="14">IF(D35&gt;=INDEX($D$3:$D$103,MATCH(MIN($G$3:$G$103),$G$3:$G$103,0)),D35,NA())</f>
        <v>0.10239999999999999</v>
      </c>
      <c r="L35" s="9">
        <f t="shared" ref="L35:L66" si="15">G35</f>
        <v>0.13028952375383063</v>
      </c>
      <c r="M35" s="9">
        <f t="shared" ref="M35:M66" si="16">D35</f>
        <v>0.10239999999999999</v>
      </c>
      <c r="N35" s="13" t="str">
        <f t="shared" ref="N35:N66" si="17">IF(ABS(G35-MIN($G$3:$G$103))&lt;0.00001,"★ MVP","")</f>
        <v/>
      </c>
    </row>
    <row r="36" spans="1:14" x14ac:dyDescent="0.25">
      <c r="A36" s="8">
        <v>34</v>
      </c>
      <c r="B36" s="14">
        <f t="shared" si="9"/>
        <v>0.33</v>
      </c>
      <c r="C36" s="14">
        <f t="shared" si="10"/>
        <v>0.66999999999999993</v>
      </c>
      <c r="D36" s="7">
        <f>B36*Inputs!$D$6+C36*Inputs!$D$11</f>
        <v>0.1031</v>
      </c>
      <c r="E36" s="7">
        <f>B36*Inputs!$D$7+C36*Inputs!$D$12</f>
        <v>0.16289999999999999</v>
      </c>
      <c r="F36" s="15">
        <f>B36^2*Inputs!$D$7^2+C36^2*Inputs!$D$12^2+2*B36*C36*Inputs!$D$7*Inputs!$D$12*Inputs!$D$15</f>
        <v>1.7250209999999998E-2</v>
      </c>
      <c r="G36" s="7">
        <f t="shared" si="11"/>
        <v>0.13134005481954086</v>
      </c>
      <c r="H36" s="14">
        <f t="shared" si="12"/>
        <v>3.1559945180459126E-2</v>
      </c>
      <c r="I36" s="16">
        <f>IFERROR((D36-Inputs!$D$22)/G36,"")</f>
        <v>0.40429402951718379</v>
      </c>
      <c r="J36" s="14">
        <f t="shared" si="13"/>
        <v>0.13134005481954086</v>
      </c>
      <c r="K36" s="14">
        <f t="shared" si="14"/>
        <v>0.1031</v>
      </c>
      <c r="L36" s="14">
        <f t="shared" si="15"/>
        <v>0.13134005481954086</v>
      </c>
      <c r="M36" s="14">
        <f t="shared" si="16"/>
        <v>0.1031</v>
      </c>
      <c r="N36" s="8" t="str">
        <f t="shared" si="17"/>
        <v/>
      </c>
    </row>
    <row r="37" spans="1:14" x14ac:dyDescent="0.25">
      <c r="A37" s="8">
        <v>35</v>
      </c>
      <c r="B37" s="9">
        <f t="shared" si="9"/>
        <v>0.34</v>
      </c>
      <c r="C37" s="9">
        <f t="shared" si="10"/>
        <v>0.65999999999999992</v>
      </c>
      <c r="D37" s="10">
        <f>B37*Inputs!$D$6+C37*Inputs!$D$11</f>
        <v>0.1038</v>
      </c>
      <c r="E37" s="10">
        <f>B37*Inputs!$D$7+C37*Inputs!$D$12</f>
        <v>0.16420000000000001</v>
      </c>
      <c r="F37" s="11">
        <f>B37^2*Inputs!$D$7^2+C37^2*Inputs!$D$12^2+2*B37*C37*Inputs!$D$7*Inputs!$D$12*Inputs!$D$15</f>
        <v>1.7536839999999998E-2</v>
      </c>
      <c r="G37" s="10">
        <f t="shared" si="11"/>
        <v>0.1324267344609841</v>
      </c>
      <c r="H37" s="9">
        <f t="shared" si="12"/>
        <v>3.177326553901591E-2</v>
      </c>
      <c r="I37" s="12">
        <f>IFERROR((D37-Inputs!$D$22)/G37,"")</f>
        <v>0.40626237760057954</v>
      </c>
      <c r="J37" s="9">
        <f t="shared" si="13"/>
        <v>0.1324267344609841</v>
      </c>
      <c r="K37" s="9">
        <f t="shared" si="14"/>
        <v>0.1038</v>
      </c>
      <c r="L37" s="9">
        <f t="shared" si="15"/>
        <v>0.1324267344609841</v>
      </c>
      <c r="M37" s="9">
        <f t="shared" si="16"/>
        <v>0.1038</v>
      </c>
      <c r="N37" s="13" t="str">
        <f t="shared" si="17"/>
        <v/>
      </c>
    </row>
    <row r="38" spans="1:14" x14ac:dyDescent="0.25">
      <c r="A38" s="8">
        <v>36</v>
      </c>
      <c r="B38" s="14">
        <f t="shared" si="9"/>
        <v>0.35000000000000003</v>
      </c>
      <c r="C38" s="14">
        <f t="shared" si="10"/>
        <v>0.64999999999999991</v>
      </c>
      <c r="D38" s="7">
        <f>B38*Inputs!$D$6+C38*Inputs!$D$11</f>
        <v>0.1045</v>
      </c>
      <c r="E38" s="7">
        <f>B38*Inputs!$D$7+C38*Inputs!$D$12</f>
        <v>0.16549999999999998</v>
      </c>
      <c r="F38" s="15">
        <f>B38^2*Inputs!$D$7^2+C38^2*Inputs!$D$12^2+2*B38*C38*Inputs!$D$7*Inputs!$D$12*Inputs!$D$15</f>
        <v>1.7835249999999997E-2</v>
      </c>
      <c r="G38" s="7">
        <f t="shared" si="11"/>
        <v>0.13354868026304115</v>
      </c>
      <c r="H38" s="14">
        <f t="shared" si="12"/>
        <v>3.1951319736958833E-2</v>
      </c>
      <c r="I38" s="16">
        <f>IFERROR((D38-Inputs!$D$22)/G38,"")</f>
        <v>0.40809089159589818</v>
      </c>
      <c r="J38" s="14">
        <f t="shared" si="13"/>
        <v>0.13354868026304115</v>
      </c>
      <c r="K38" s="14">
        <f t="shared" si="14"/>
        <v>0.1045</v>
      </c>
      <c r="L38" s="14">
        <f t="shared" si="15"/>
        <v>0.13354868026304115</v>
      </c>
      <c r="M38" s="14">
        <f t="shared" si="16"/>
        <v>0.1045</v>
      </c>
      <c r="N38" s="8" t="str">
        <f t="shared" si="17"/>
        <v/>
      </c>
    </row>
    <row r="39" spans="1:14" x14ac:dyDescent="0.25">
      <c r="A39" s="8">
        <v>37</v>
      </c>
      <c r="B39" s="9">
        <f t="shared" si="9"/>
        <v>0.36</v>
      </c>
      <c r="C39" s="9">
        <f t="shared" si="10"/>
        <v>0.64</v>
      </c>
      <c r="D39" s="10">
        <f>B39*Inputs!$D$6+C39*Inputs!$D$11</f>
        <v>0.1052</v>
      </c>
      <c r="E39" s="10">
        <f>B39*Inputs!$D$7+C39*Inputs!$D$12</f>
        <v>0.1668</v>
      </c>
      <c r="F39" s="11">
        <f>B39^2*Inputs!$D$7^2+C39^2*Inputs!$D$12^2+2*B39*C39*Inputs!$D$7*Inputs!$D$12*Inputs!$D$15</f>
        <v>1.8145439999999999E-2</v>
      </c>
      <c r="G39" s="10">
        <f t="shared" si="11"/>
        <v>0.13470501104264829</v>
      </c>
      <c r="H39" s="9">
        <f t="shared" si="12"/>
        <v>3.2094988957351717E-2</v>
      </c>
      <c r="I39" s="12">
        <f>IFERROR((D39-Inputs!$D$22)/G39,"")</f>
        <v>0.40978430997287396</v>
      </c>
      <c r="J39" s="9">
        <f t="shared" si="13"/>
        <v>0.13470501104264829</v>
      </c>
      <c r="K39" s="9">
        <f t="shared" si="14"/>
        <v>0.1052</v>
      </c>
      <c r="L39" s="9">
        <f t="shared" si="15"/>
        <v>0.13470501104264829</v>
      </c>
      <c r="M39" s="9">
        <f t="shared" si="16"/>
        <v>0.1052</v>
      </c>
      <c r="N39" s="13" t="str">
        <f t="shared" si="17"/>
        <v/>
      </c>
    </row>
    <row r="40" spans="1:14" x14ac:dyDescent="0.25">
      <c r="A40" s="8">
        <v>38</v>
      </c>
      <c r="B40" s="14">
        <f t="shared" si="9"/>
        <v>0.37</v>
      </c>
      <c r="C40" s="14">
        <f t="shared" si="10"/>
        <v>0.63</v>
      </c>
      <c r="D40" s="7">
        <f>B40*Inputs!$D$6+C40*Inputs!$D$11</f>
        <v>0.10589999999999999</v>
      </c>
      <c r="E40" s="7">
        <f>B40*Inputs!$D$7+C40*Inputs!$D$12</f>
        <v>0.1681</v>
      </c>
      <c r="F40" s="15">
        <f>B40^2*Inputs!$D$7^2+C40^2*Inputs!$D$12^2+2*B40*C40*Inputs!$D$7*Inputs!$D$12*Inputs!$D$15</f>
        <v>1.846741E-2</v>
      </c>
      <c r="G40" s="7">
        <f t="shared" si="11"/>
        <v>0.13589484905617283</v>
      </c>
      <c r="H40" s="14">
        <f t="shared" si="12"/>
        <v>3.2205150943827171E-2</v>
      </c>
      <c r="I40" s="16">
        <f>IFERROR((D40-Inputs!$D$22)/G40,"")</f>
        <v>0.41134745274188755</v>
      </c>
      <c r="J40" s="14">
        <f t="shared" si="13"/>
        <v>0.13589484905617283</v>
      </c>
      <c r="K40" s="14">
        <f t="shared" si="14"/>
        <v>0.10589999999999999</v>
      </c>
      <c r="L40" s="14">
        <f t="shared" si="15"/>
        <v>0.13589484905617283</v>
      </c>
      <c r="M40" s="14">
        <f t="shared" si="16"/>
        <v>0.10589999999999999</v>
      </c>
      <c r="N40" s="8" t="str">
        <f t="shared" si="17"/>
        <v/>
      </c>
    </row>
    <row r="41" spans="1:14" x14ac:dyDescent="0.25">
      <c r="A41" s="8">
        <v>39</v>
      </c>
      <c r="B41" s="9">
        <f t="shared" si="9"/>
        <v>0.38</v>
      </c>
      <c r="C41" s="9">
        <f t="shared" si="10"/>
        <v>0.62</v>
      </c>
      <c r="D41" s="10">
        <f>B41*Inputs!$D$6+C41*Inputs!$D$11</f>
        <v>0.1066</v>
      </c>
      <c r="E41" s="10">
        <f>B41*Inputs!$D$7+C41*Inputs!$D$12</f>
        <v>0.1694</v>
      </c>
      <c r="F41" s="11">
        <f>B41^2*Inputs!$D$7^2+C41^2*Inputs!$D$12^2+2*B41*C41*Inputs!$D$7*Inputs!$D$12*Inputs!$D$15</f>
        <v>1.8801160000000001E-2</v>
      </c>
      <c r="G41" s="10">
        <f t="shared" si="11"/>
        <v>0.13711732202752502</v>
      </c>
      <c r="H41" s="9">
        <f t="shared" si="12"/>
        <v>3.2282677972474971E-2</v>
      </c>
      <c r="I41" s="12">
        <f>IFERROR((D41-Inputs!$D$22)/G41,"")</f>
        <v>0.41278519127319357</v>
      </c>
      <c r="J41" s="9">
        <f t="shared" si="13"/>
        <v>0.13711732202752502</v>
      </c>
      <c r="K41" s="9">
        <f t="shared" si="14"/>
        <v>0.1066</v>
      </c>
      <c r="L41" s="9">
        <f t="shared" si="15"/>
        <v>0.13711732202752502</v>
      </c>
      <c r="M41" s="9">
        <f t="shared" si="16"/>
        <v>0.1066</v>
      </c>
      <c r="N41" s="13" t="str">
        <f t="shared" si="17"/>
        <v/>
      </c>
    </row>
    <row r="42" spans="1:14" x14ac:dyDescent="0.25">
      <c r="A42" s="8">
        <v>40</v>
      </c>
      <c r="B42" s="14">
        <f t="shared" si="9"/>
        <v>0.39</v>
      </c>
      <c r="C42" s="14">
        <f t="shared" si="10"/>
        <v>0.61</v>
      </c>
      <c r="D42" s="7">
        <f>B42*Inputs!$D$6+C42*Inputs!$D$11</f>
        <v>0.10730000000000001</v>
      </c>
      <c r="E42" s="7">
        <f>B42*Inputs!$D$7+C42*Inputs!$D$12</f>
        <v>0.17070000000000002</v>
      </c>
      <c r="F42" s="15">
        <f>B42^2*Inputs!$D$7^2+C42^2*Inputs!$D$12^2+2*B42*C42*Inputs!$D$7*Inputs!$D$12*Inputs!$D$15</f>
        <v>1.9146690000000001E-2</v>
      </c>
      <c r="G42" s="7">
        <f t="shared" si="11"/>
        <v>0.13837156499801539</v>
      </c>
      <c r="H42" s="14">
        <f t="shared" si="12"/>
        <v>3.2328435001984623E-2</v>
      </c>
      <c r="I42" s="16">
        <f>IFERROR((D42-Inputs!$D$22)/G42,"")</f>
        <v>0.41410242054299112</v>
      </c>
      <c r="J42" s="14">
        <f t="shared" si="13"/>
        <v>0.13837156499801539</v>
      </c>
      <c r="K42" s="14">
        <f t="shared" si="14"/>
        <v>0.10730000000000001</v>
      </c>
      <c r="L42" s="14">
        <f t="shared" si="15"/>
        <v>0.13837156499801539</v>
      </c>
      <c r="M42" s="14">
        <f t="shared" si="16"/>
        <v>0.10730000000000001</v>
      </c>
      <c r="N42" s="8" t="str">
        <f t="shared" si="17"/>
        <v/>
      </c>
    </row>
    <row r="43" spans="1:14" x14ac:dyDescent="0.25">
      <c r="A43" s="8">
        <v>41</v>
      </c>
      <c r="B43" s="9">
        <f t="shared" si="9"/>
        <v>0.4</v>
      </c>
      <c r="C43" s="9">
        <f t="shared" si="10"/>
        <v>0.6</v>
      </c>
      <c r="D43" s="10">
        <f>B43*Inputs!$D$6+C43*Inputs!$D$11</f>
        <v>0.108</v>
      </c>
      <c r="E43" s="10">
        <f>B43*Inputs!$D$7+C43*Inputs!$D$12</f>
        <v>0.17199999999999999</v>
      </c>
      <c r="F43" s="11">
        <f>B43^2*Inputs!$D$7^2+C43^2*Inputs!$D$12^2+2*B43*C43*Inputs!$D$7*Inputs!$D$12*Inputs!$D$15</f>
        <v>1.9504000000000001E-2</v>
      </c>
      <c r="G43" s="10">
        <f t="shared" si="11"/>
        <v>0.13965672200076873</v>
      </c>
      <c r="H43" s="9">
        <f t="shared" si="12"/>
        <v>3.2343277999231257E-2</v>
      </c>
      <c r="I43" s="12">
        <f>IFERROR((D43-Inputs!$D$22)/G43,"")</f>
        <v>0.41530403384149844</v>
      </c>
      <c r="J43" s="9">
        <f t="shared" si="13"/>
        <v>0.13965672200076873</v>
      </c>
      <c r="K43" s="9">
        <f t="shared" si="14"/>
        <v>0.108</v>
      </c>
      <c r="L43" s="9">
        <f t="shared" si="15"/>
        <v>0.13965672200076873</v>
      </c>
      <c r="M43" s="9">
        <f t="shared" si="16"/>
        <v>0.108</v>
      </c>
      <c r="N43" s="13" t="str">
        <f t="shared" si="17"/>
        <v/>
      </c>
    </row>
    <row r="44" spans="1:14" x14ac:dyDescent="0.25">
      <c r="A44" s="8">
        <v>42</v>
      </c>
      <c r="B44" s="14">
        <f t="shared" si="9"/>
        <v>0.41000000000000003</v>
      </c>
      <c r="C44" s="14">
        <f t="shared" si="10"/>
        <v>0.59</v>
      </c>
      <c r="D44" s="7">
        <f>B44*Inputs!$D$6+C44*Inputs!$D$11</f>
        <v>0.10869999999999999</v>
      </c>
      <c r="E44" s="7">
        <f>B44*Inputs!$D$7+C44*Inputs!$D$12</f>
        <v>0.17330000000000001</v>
      </c>
      <c r="F44" s="15">
        <f>B44^2*Inputs!$D$7^2+C44^2*Inputs!$D$12^2+2*B44*C44*Inputs!$D$7*Inputs!$D$12*Inputs!$D$15</f>
        <v>1.987309E-2</v>
      </c>
      <c r="G44" s="7">
        <f t="shared" si="11"/>
        <v>0.14097194756404552</v>
      </c>
      <c r="H44" s="14">
        <f t="shared" si="12"/>
        <v>3.2328052435954491E-2</v>
      </c>
      <c r="I44" s="16">
        <f>IFERROR((D44-Inputs!$D$22)/G44,"")</f>
        <v>0.41639489993803031</v>
      </c>
      <c r="J44" s="14">
        <f t="shared" si="13"/>
        <v>0.14097194756404552</v>
      </c>
      <c r="K44" s="14">
        <f t="shared" si="14"/>
        <v>0.10869999999999999</v>
      </c>
      <c r="L44" s="14">
        <f t="shared" si="15"/>
        <v>0.14097194756404552</v>
      </c>
      <c r="M44" s="14">
        <f t="shared" si="16"/>
        <v>0.10869999999999999</v>
      </c>
      <c r="N44" s="8" t="str">
        <f t="shared" si="17"/>
        <v/>
      </c>
    </row>
    <row r="45" spans="1:14" x14ac:dyDescent="0.25">
      <c r="A45" s="8">
        <v>43</v>
      </c>
      <c r="B45" s="9">
        <f t="shared" si="9"/>
        <v>0.42</v>
      </c>
      <c r="C45" s="9">
        <f t="shared" si="10"/>
        <v>0.58000000000000007</v>
      </c>
      <c r="D45" s="10">
        <f>B45*Inputs!$D$6+C45*Inputs!$D$11</f>
        <v>0.1094</v>
      </c>
      <c r="E45" s="10">
        <f>B45*Inputs!$D$7+C45*Inputs!$D$12</f>
        <v>0.17460000000000001</v>
      </c>
      <c r="F45" s="11">
        <f>B45^2*Inputs!$D$7^2+C45^2*Inputs!$D$12^2+2*B45*C45*Inputs!$D$7*Inputs!$D$12*Inputs!$D$15</f>
        <v>2.0253960000000001E-2</v>
      </c>
      <c r="G45" s="10">
        <f t="shared" si="11"/>
        <v>0.14231640804910725</v>
      </c>
      <c r="H45" s="9">
        <f t="shared" si="12"/>
        <v>3.2283591950892754E-2</v>
      </c>
      <c r="I45" s="12">
        <f>IFERROR((D45-Inputs!$D$22)/G45,"")</f>
        <v>0.41737984266370481</v>
      </c>
      <c r="J45" s="9">
        <f t="shared" si="13"/>
        <v>0.14231640804910725</v>
      </c>
      <c r="K45" s="9">
        <f t="shared" si="14"/>
        <v>0.1094</v>
      </c>
      <c r="L45" s="9">
        <f t="shared" si="15"/>
        <v>0.14231640804910725</v>
      </c>
      <c r="M45" s="9">
        <f t="shared" si="16"/>
        <v>0.1094</v>
      </c>
      <c r="N45" s="13" t="str">
        <f t="shared" si="17"/>
        <v/>
      </c>
    </row>
    <row r="46" spans="1:14" x14ac:dyDescent="0.25">
      <c r="A46" s="8">
        <v>44</v>
      </c>
      <c r="B46" s="14">
        <f t="shared" si="9"/>
        <v>0.43</v>
      </c>
      <c r="C46" s="14">
        <f t="shared" si="10"/>
        <v>0.57000000000000006</v>
      </c>
      <c r="D46" s="7">
        <f>B46*Inputs!$D$6+C46*Inputs!$D$11</f>
        <v>0.1101</v>
      </c>
      <c r="E46" s="7">
        <f>B46*Inputs!$D$7+C46*Inputs!$D$12</f>
        <v>0.1759</v>
      </c>
      <c r="F46" s="15">
        <f>B46^2*Inputs!$D$7^2+C46^2*Inputs!$D$12^2+2*B46*C46*Inputs!$D$7*Inputs!$D$12*Inputs!$D$15</f>
        <v>2.0646609999999999E-2</v>
      </c>
      <c r="G46" s="7">
        <f t="shared" si="11"/>
        <v>0.14368928282930499</v>
      </c>
      <c r="H46" s="14">
        <f t="shared" si="12"/>
        <v>3.2210717170695014E-2</v>
      </c>
      <c r="I46" s="16">
        <f>IFERROR((D46-Inputs!$D$22)/G46,"")</f>
        <v>0.41826362284371282</v>
      </c>
      <c r="J46" s="14">
        <f t="shared" si="13"/>
        <v>0.14368928282930499</v>
      </c>
      <c r="K46" s="14">
        <f t="shared" si="14"/>
        <v>0.1101</v>
      </c>
      <c r="L46" s="14">
        <f t="shared" si="15"/>
        <v>0.14368928282930499</v>
      </c>
      <c r="M46" s="14">
        <f t="shared" si="16"/>
        <v>0.1101</v>
      </c>
      <c r="N46" s="8" t="str">
        <f t="shared" si="17"/>
        <v/>
      </c>
    </row>
    <row r="47" spans="1:14" x14ac:dyDescent="0.25">
      <c r="A47" s="8">
        <v>45</v>
      </c>
      <c r="B47" s="9">
        <f t="shared" si="9"/>
        <v>0.44</v>
      </c>
      <c r="C47" s="9">
        <f t="shared" si="10"/>
        <v>0.56000000000000005</v>
      </c>
      <c r="D47" s="10">
        <f>B47*Inputs!$D$6+C47*Inputs!$D$11</f>
        <v>0.11080000000000001</v>
      </c>
      <c r="E47" s="10">
        <f>B47*Inputs!$D$7+C47*Inputs!$D$12</f>
        <v>0.17720000000000002</v>
      </c>
      <c r="F47" s="11">
        <f>B47^2*Inputs!$D$7^2+C47^2*Inputs!$D$12^2+2*B47*C47*Inputs!$D$7*Inputs!$D$12*Inputs!$D$15</f>
        <v>2.105104E-2</v>
      </c>
      <c r="G47" s="10">
        <f t="shared" si="11"/>
        <v>0.14508976531788864</v>
      </c>
      <c r="H47" s="9">
        <f t="shared" si="12"/>
        <v>3.2110234682111383E-2</v>
      </c>
      <c r="I47" s="12">
        <f>IFERROR((D47-Inputs!$D$22)/G47,"")</f>
        <v>0.41905092248780251</v>
      </c>
      <c r="J47" s="9">
        <f t="shared" si="13"/>
        <v>0.14508976531788864</v>
      </c>
      <c r="K47" s="9">
        <f t="shared" si="14"/>
        <v>0.11080000000000001</v>
      </c>
      <c r="L47" s="9">
        <f t="shared" si="15"/>
        <v>0.14508976531788864</v>
      </c>
      <c r="M47" s="9">
        <f t="shared" si="16"/>
        <v>0.11080000000000001</v>
      </c>
      <c r="N47" s="13" t="str">
        <f t="shared" si="17"/>
        <v/>
      </c>
    </row>
    <row r="48" spans="1:14" x14ac:dyDescent="0.25">
      <c r="A48" s="8">
        <v>46</v>
      </c>
      <c r="B48" s="14">
        <f t="shared" si="9"/>
        <v>0.45</v>
      </c>
      <c r="C48" s="14">
        <f t="shared" si="10"/>
        <v>0.55000000000000004</v>
      </c>
      <c r="D48" s="7">
        <f>B48*Inputs!$D$6+C48*Inputs!$D$11</f>
        <v>0.11150000000000002</v>
      </c>
      <c r="E48" s="7">
        <f>B48*Inputs!$D$7+C48*Inputs!$D$12</f>
        <v>0.17849999999999999</v>
      </c>
      <c r="F48" s="15">
        <f>B48^2*Inputs!$D$7^2+C48^2*Inputs!$D$12^2+2*B48*C48*Inputs!$D$7*Inputs!$D$12*Inputs!$D$15</f>
        <v>2.146725E-2</v>
      </c>
      <c r="G48" s="7">
        <f t="shared" si="11"/>
        <v>0.14651706385264482</v>
      </c>
      <c r="H48" s="14">
        <f t="shared" si="12"/>
        <v>3.1982936147355173E-2</v>
      </c>
      <c r="I48" s="16">
        <f>IFERROR((D48-Inputs!$D$22)/G48,"")</f>
        <v>0.41974633112940218</v>
      </c>
      <c r="J48" s="14">
        <f t="shared" si="13"/>
        <v>0.14651706385264482</v>
      </c>
      <c r="K48" s="14">
        <f t="shared" si="14"/>
        <v>0.11150000000000002</v>
      </c>
      <c r="L48" s="14">
        <f t="shared" si="15"/>
        <v>0.14651706385264482</v>
      </c>
      <c r="M48" s="14">
        <f t="shared" si="16"/>
        <v>0.11150000000000002</v>
      </c>
      <c r="N48" s="8" t="str">
        <f t="shared" si="17"/>
        <v/>
      </c>
    </row>
    <row r="49" spans="1:14" x14ac:dyDescent="0.25">
      <c r="A49" s="8">
        <v>47</v>
      </c>
      <c r="B49" s="9">
        <f t="shared" si="9"/>
        <v>0.46</v>
      </c>
      <c r="C49" s="9">
        <f t="shared" si="10"/>
        <v>0.54</v>
      </c>
      <c r="D49" s="10">
        <f>B49*Inputs!$D$6+C49*Inputs!$D$11</f>
        <v>0.11220000000000001</v>
      </c>
      <c r="E49" s="10">
        <f>B49*Inputs!$D$7+C49*Inputs!$D$12</f>
        <v>0.17980000000000002</v>
      </c>
      <c r="F49" s="11">
        <f>B49^2*Inputs!$D$7^2+C49^2*Inputs!$D$12^2+2*B49*C49*Inputs!$D$7*Inputs!$D$12*Inputs!$D$15</f>
        <v>2.1895240000000003E-2</v>
      </c>
      <c r="G49" s="10">
        <f t="shared" si="11"/>
        <v>0.14797040244589457</v>
      </c>
      <c r="H49" s="9">
        <f t="shared" si="12"/>
        <v>3.1829597554105443E-2</v>
      </c>
      <c r="I49" s="12">
        <f>IFERROR((D49-Inputs!$D$22)/G49,"")</f>
        <v>0.42035433419020035</v>
      </c>
      <c r="J49" s="9">
        <f t="shared" si="13"/>
        <v>0.14797040244589457</v>
      </c>
      <c r="K49" s="9">
        <f t="shared" si="14"/>
        <v>0.11220000000000001</v>
      </c>
      <c r="L49" s="9">
        <f t="shared" si="15"/>
        <v>0.14797040244589457</v>
      </c>
      <c r="M49" s="9">
        <f t="shared" si="16"/>
        <v>0.11220000000000001</v>
      </c>
      <c r="N49" s="13" t="str">
        <f t="shared" si="17"/>
        <v/>
      </c>
    </row>
    <row r="50" spans="1:14" x14ac:dyDescent="0.25">
      <c r="A50" s="8">
        <v>48</v>
      </c>
      <c r="B50" s="14">
        <f t="shared" si="9"/>
        <v>0.47000000000000003</v>
      </c>
      <c r="C50" s="14">
        <f t="shared" si="10"/>
        <v>0.53</v>
      </c>
      <c r="D50" s="7">
        <f>B50*Inputs!$D$6+C50*Inputs!$D$11</f>
        <v>0.1129</v>
      </c>
      <c r="E50" s="7">
        <f>B50*Inputs!$D$7+C50*Inputs!$D$12</f>
        <v>0.18110000000000001</v>
      </c>
      <c r="F50" s="15">
        <f>B50^2*Inputs!$D$7^2+C50^2*Inputs!$D$12^2+2*B50*C50*Inputs!$D$7*Inputs!$D$12*Inputs!$D$15</f>
        <v>2.2335010000000002E-2</v>
      </c>
      <c r="G50" s="7">
        <f t="shared" si="11"/>
        <v>0.14944902140863955</v>
      </c>
      <c r="H50" s="14">
        <f t="shared" si="12"/>
        <v>3.1650978591360457E-2</v>
      </c>
      <c r="I50" s="16">
        <f>IFERROR((D50-Inputs!$D$22)/G50,"")</f>
        <v>0.42087930323753719</v>
      </c>
      <c r="J50" s="14">
        <f t="shared" si="13"/>
        <v>0.14944902140863955</v>
      </c>
      <c r="K50" s="14">
        <f t="shared" si="14"/>
        <v>0.1129</v>
      </c>
      <c r="L50" s="14">
        <f t="shared" si="15"/>
        <v>0.14944902140863955</v>
      </c>
      <c r="M50" s="14">
        <f t="shared" si="16"/>
        <v>0.1129</v>
      </c>
      <c r="N50" s="8" t="str">
        <f t="shared" si="17"/>
        <v/>
      </c>
    </row>
    <row r="51" spans="1:14" x14ac:dyDescent="0.25">
      <c r="A51" s="8">
        <v>49</v>
      </c>
      <c r="B51" s="9">
        <f t="shared" si="9"/>
        <v>0.48</v>
      </c>
      <c r="C51" s="9">
        <f t="shared" si="10"/>
        <v>0.52</v>
      </c>
      <c r="D51" s="10">
        <f>B51*Inputs!$D$6+C51*Inputs!$D$11</f>
        <v>0.11360000000000001</v>
      </c>
      <c r="E51" s="10">
        <f>B51*Inputs!$D$7+C51*Inputs!$D$12</f>
        <v>0.18240000000000001</v>
      </c>
      <c r="F51" s="11">
        <f>B51^2*Inputs!$D$7^2+C51^2*Inputs!$D$12^2+2*B51*C51*Inputs!$D$7*Inputs!$D$12*Inputs!$D$15</f>
        <v>2.2786559999999997E-2</v>
      </c>
      <c r="G51" s="10">
        <f t="shared" si="11"/>
        <v>0.1509521778577573</v>
      </c>
      <c r="H51" s="9">
        <f t="shared" si="12"/>
        <v>3.1447822142242704E-2</v>
      </c>
      <c r="I51" s="12">
        <f>IFERROR((D51-Inputs!$D$22)/G51,"")</f>
        <v>0.42132548799614189</v>
      </c>
      <c r="J51" s="9">
        <f t="shared" si="13"/>
        <v>0.1509521778577573</v>
      </c>
      <c r="K51" s="9">
        <f t="shared" si="14"/>
        <v>0.11360000000000001</v>
      </c>
      <c r="L51" s="9">
        <f t="shared" si="15"/>
        <v>0.1509521778577573</v>
      </c>
      <c r="M51" s="9">
        <f t="shared" si="16"/>
        <v>0.11360000000000001</v>
      </c>
      <c r="N51" s="13" t="str">
        <f t="shared" si="17"/>
        <v/>
      </c>
    </row>
    <row r="52" spans="1:14" x14ac:dyDescent="0.25">
      <c r="A52" s="8">
        <v>50</v>
      </c>
      <c r="B52" s="14">
        <f t="shared" si="9"/>
        <v>0.49</v>
      </c>
      <c r="C52" s="14">
        <f t="shared" si="10"/>
        <v>0.51</v>
      </c>
      <c r="D52" s="7">
        <f>B52*Inputs!$D$6+C52*Inputs!$D$11</f>
        <v>0.1143</v>
      </c>
      <c r="E52" s="7">
        <f>B52*Inputs!$D$7+C52*Inputs!$D$12</f>
        <v>0.1837</v>
      </c>
      <c r="F52" s="15">
        <f>B52^2*Inputs!$D$7^2+C52^2*Inputs!$D$12^2+2*B52*C52*Inputs!$D$7*Inputs!$D$12*Inputs!$D$15</f>
        <v>2.3249889999999999E-2</v>
      </c>
      <c r="G52" s="7">
        <f t="shared" si="11"/>
        <v>0.15247914611513275</v>
      </c>
      <c r="H52" s="14">
        <f t="shared" si="12"/>
        <v>3.1220853884867256E-2</v>
      </c>
      <c r="I52" s="16">
        <f>IFERROR((D52-Inputs!$D$22)/G52,"")</f>
        <v>0.42169700997308091</v>
      </c>
      <c r="J52" s="14">
        <f t="shared" si="13"/>
        <v>0.15247914611513275</v>
      </c>
      <c r="K52" s="14">
        <f t="shared" si="14"/>
        <v>0.1143</v>
      </c>
      <c r="L52" s="14">
        <f t="shared" si="15"/>
        <v>0.15247914611513275</v>
      </c>
      <c r="M52" s="14">
        <f t="shared" si="16"/>
        <v>0.1143</v>
      </c>
      <c r="N52" s="8" t="str">
        <f t="shared" si="17"/>
        <v/>
      </c>
    </row>
    <row r="53" spans="1:14" x14ac:dyDescent="0.25">
      <c r="A53" s="8">
        <v>51</v>
      </c>
      <c r="B53" s="9">
        <f t="shared" si="9"/>
        <v>0.5</v>
      </c>
      <c r="C53" s="9">
        <f t="shared" si="10"/>
        <v>0.5</v>
      </c>
      <c r="D53" s="10">
        <f>B53*Inputs!$D$6+C53*Inputs!$D$11</f>
        <v>0.11499999999999999</v>
      </c>
      <c r="E53" s="10">
        <f>B53*Inputs!$D$7+C53*Inputs!$D$12</f>
        <v>0.185</v>
      </c>
      <c r="F53" s="11">
        <f>B53^2*Inputs!$D$7^2+C53^2*Inputs!$D$12^2+2*B53*C53*Inputs!$D$7*Inputs!$D$12*Inputs!$D$15</f>
        <v>2.3725E-2</v>
      </c>
      <c r="G53" s="10">
        <f t="shared" si="11"/>
        <v>0.15402921800749364</v>
      </c>
      <c r="H53" s="9">
        <f t="shared" si="12"/>
        <v>3.0970781992506358E-2</v>
      </c>
      <c r="I53" s="12">
        <f>IFERROR((D53-Inputs!$D$22)/G53,"")</f>
        <v>0.42199785755477698</v>
      </c>
      <c r="J53" s="9">
        <f t="shared" si="13"/>
        <v>0.15402921800749364</v>
      </c>
      <c r="K53" s="9">
        <f t="shared" si="14"/>
        <v>0.11499999999999999</v>
      </c>
      <c r="L53" s="9">
        <f t="shared" si="15"/>
        <v>0.15402921800749364</v>
      </c>
      <c r="M53" s="9">
        <f t="shared" si="16"/>
        <v>0.11499999999999999</v>
      </c>
      <c r="N53" s="13" t="str">
        <f t="shared" si="17"/>
        <v/>
      </c>
    </row>
    <row r="54" spans="1:14" x14ac:dyDescent="0.25">
      <c r="A54" s="8">
        <v>52</v>
      </c>
      <c r="B54" s="14">
        <f t="shared" si="9"/>
        <v>0.51</v>
      </c>
      <c r="C54" s="14">
        <f t="shared" si="10"/>
        <v>0.49</v>
      </c>
      <c r="D54" s="7">
        <f>B54*Inputs!$D$6+C54*Inputs!$D$11</f>
        <v>0.1157</v>
      </c>
      <c r="E54" s="7">
        <f>B54*Inputs!$D$7+C54*Inputs!$D$12</f>
        <v>0.18629999999999999</v>
      </c>
      <c r="F54" s="15">
        <f>B54^2*Inputs!$D$7^2+C54^2*Inputs!$D$12^2+2*B54*C54*Inputs!$D$7*Inputs!$D$12*Inputs!$D$15</f>
        <v>2.421189E-2</v>
      </c>
      <c r="G54" s="7">
        <f t="shared" si="11"/>
        <v>0.15560170307551263</v>
      </c>
      <c r="H54" s="14">
        <f t="shared" si="12"/>
        <v>3.0698296924487362E-2</v>
      </c>
      <c r="I54" s="16">
        <f>IFERROR((D54-Inputs!$D$22)/G54,"")</f>
        <v>0.42223188243714888</v>
      </c>
      <c r="J54" s="14">
        <f t="shared" si="13"/>
        <v>0.15560170307551263</v>
      </c>
      <c r="K54" s="14">
        <f t="shared" si="14"/>
        <v>0.1157</v>
      </c>
      <c r="L54" s="14">
        <f t="shared" si="15"/>
        <v>0.15560170307551263</v>
      </c>
      <c r="M54" s="14">
        <f t="shared" si="16"/>
        <v>0.1157</v>
      </c>
      <c r="N54" s="8" t="str">
        <f t="shared" si="17"/>
        <v/>
      </c>
    </row>
    <row r="55" spans="1:14" x14ac:dyDescent="0.25">
      <c r="A55" s="8">
        <v>53</v>
      </c>
      <c r="B55" s="9">
        <f t="shared" si="9"/>
        <v>0.52</v>
      </c>
      <c r="C55" s="9">
        <f t="shared" si="10"/>
        <v>0.48</v>
      </c>
      <c r="D55" s="10">
        <f>B55*Inputs!$D$6+C55*Inputs!$D$11</f>
        <v>0.1164</v>
      </c>
      <c r="E55" s="10">
        <f>B55*Inputs!$D$7+C55*Inputs!$D$12</f>
        <v>0.18759999999999999</v>
      </c>
      <c r="F55" s="11">
        <f>B55^2*Inputs!$D$7^2+C55^2*Inputs!$D$12^2+2*B55*C55*Inputs!$D$7*Inputs!$D$12*Inputs!$D$15</f>
        <v>2.4710559999999999E-2</v>
      </c>
      <c r="G55" s="10">
        <f t="shared" si="11"/>
        <v>0.15719592870045968</v>
      </c>
      <c r="H55" s="9">
        <f t="shared" si="12"/>
        <v>3.0404071299540314E-2</v>
      </c>
      <c r="I55" s="12">
        <f>IFERROR((D55-Inputs!$D$22)/G55,"")</f>
        <v>0.42240279725390772</v>
      </c>
      <c r="J55" s="9">
        <f t="shared" si="13"/>
        <v>0.15719592870045968</v>
      </c>
      <c r="K55" s="9">
        <f t="shared" si="14"/>
        <v>0.1164</v>
      </c>
      <c r="L55" s="9">
        <f t="shared" si="15"/>
        <v>0.15719592870045968</v>
      </c>
      <c r="M55" s="9">
        <f t="shared" si="16"/>
        <v>0.1164</v>
      </c>
      <c r="N55" s="13" t="str">
        <f t="shared" si="17"/>
        <v/>
      </c>
    </row>
    <row r="56" spans="1:14" x14ac:dyDescent="0.25">
      <c r="A56" s="8">
        <v>54</v>
      </c>
      <c r="B56" s="14">
        <f t="shared" si="9"/>
        <v>0.53</v>
      </c>
      <c r="C56" s="14">
        <f t="shared" si="10"/>
        <v>0.47</v>
      </c>
      <c r="D56" s="7">
        <f>B56*Inputs!$D$6+C56*Inputs!$D$11</f>
        <v>0.11710000000000001</v>
      </c>
      <c r="E56" s="7">
        <f>B56*Inputs!$D$7+C56*Inputs!$D$12</f>
        <v>0.18890000000000001</v>
      </c>
      <c r="F56" s="15">
        <f>B56^2*Inputs!$D$7^2+C56^2*Inputs!$D$12^2+2*B56*C56*Inputs!$D$7*Inputs!$D$12*Inputs!$D$15</f>
        <v>2.5221010000000002E-2</v>
      </c>
      <c r="G56" s="7">
        <f t="shared" si="11"/>
        <v>0.1588112401563567</v>
      </c>
      <c r="H56" s="14">
        <f t="shared" si="12"/>
        <v>3.0088759843643315E-2</v>
      </c>
      <c r="I56" s="16">
        <f>IFERROR((D56-Inputs!$D$22)/G56,"")</f>
        <v>0.4225141742734147</v>
      </c>
      <c r="J56" s="14">
        <f t="shared" si="13"/>
        <v>0.1588112401563567</v>
      </c>
      <c r="K56" s="14">
        <f t="shared" si="14"/>
        <v>0.11710000000000001</v>
      </c>
      <c r="L56" s="14">
        <f t="shared" si="15"/>
        <v>0.1588112401563567</v>
      </c>
      <c r="M56" s="14">
        <f t="shared" si="16"/>
        <v>0.11710000000000001</v>
      </c>
      <c r="N56" s="8" t="str">
        <f t="shared" si="17"/>
        <v/>
      </c>
    </row>
    <row r="57" spans="1:14" x14ac:dyDescent="0.25">
      <c r="A57" s="8">
        <v>55</v>
      </c>
      <c r="B57" s="9">
        <f t="shared" si="9"/>
        <v>0.54</v>
      </c>
      <c r="C57" s="9">
        <f t="shared" si="10"/>
        <v>0.45999999999999996</v>
      </c>
      <c r="D57" s="10">
        <f>B57*Inputs!$D$6+C57*Inputs!$D$11</f>
        <v>0.1178</v>
      </c>
      <c r="E57" s="10">
        <f>B57*Inputs!$D$7+C57*Inputs!$D$12</f>
        <v>0.19020000000000001</v>
      </c>
      <c r="F57" s="11">
        <f>B57^2*Inputs!$D$7^2+C57^2*Inputs!$D$12^2+2*B57*C57*Inputs!$D$7*Inputs!$D$12*Inputs!$D$15</f>
        <v>2.5743240000000001E-2</v>
      </c>
      <c r="G57" s="10">
        <f t="shared" si="11"/>
        <v>0.16044700059521214</v>
      </c>
      <c r="H57" s="9">
        <f t="shared" si="12"/>
        <v>2.9752999404787872E-2</v>
      </c>
      <c r="I57" s="12">
        <f>IFERROR((D57-Inputs!$D$22)/G57,"")</f>
        <v>0.42256944504092653</v>
      </c>
      <c r="J57" s="9">
        <f t="shared" si="13"/>
        <v>0.16044700059521214</v>
      </c>
      <c r="K57" s="9">
        <f t="shared" si="14"/>
        <v>0.1178</v>
      </c>
      <c r="L57" s="9">
        <f t="shared" si="15"/>
        <v>0.16044700059521214</v>
      </c>
      <c r="M57" s="9">
        <f t="shared" si="16"/>
        <v>0.1178</v>
      </c>
      <c r="N57" s="13" t="str">
        <f t="shared" si="17"/>
        <v/>
      </c>
    </row>
    <row r="58" spans="1:14" x14ac:dyDescent="0.25">
      <c r="A58" s="8">
        <v>56</v>
      </c>
      <c r="B58" s="14">
        <f t="shared" si="9"/>
        <v>0.55000000000000004</v>
      </c>
      <c r="C58" s="14">
        <f t="shared" si="10"/>
        <v>0.44999999999999996</v>
      </c>
      <c r="D58" s="7">
        <f>B58*Inputs!$D$6+C58*Inputs!$D$11</f>
        <v>0.11849999999999999</v>
      </c>
      <c r="E58" s="7">
        <f>B58*Inputs!$D$7+C58*Inputs!$D$12</f>
        <v>0.1915</v>
      </c>
      <c r="F58" s="15">
        <f>B58^2*Inputs!$D$7^2+C58^2*Inputs!$D$12^2+2*B58*C58*Inputs!$D$7*Inputs!$D$12*Inputs!$D$15</f>
        <v>2.6277250000000002E-2</v>
      </c>
      <c r="G58" s="7">
        <f t="shared" si="11"/>
        <v>0.16210259097250729</v>
      </c>
      <c r="H58" s="14">
        <f t="shared" si="12"/>
        <v>2.9397409027492716E-2</v>
      </c>
      <c r="I58" s="16">
        <f>IFERROR((D58-Inputs!$D$22)/G58,"")</f>
        <v>0.42257190085023155</v>
      </c>
      <c r="J58" s="14">
        <f t="shared" si="13"/>
        <v>0.16210259097250729</v>
      </c>
      <c r="K58" s="14">
        <f t="shared" si="14"/>
        <v>0.11849999999999999</v>
      </c>
      <c r="L58" s="14">
        <f t="shared" si="15"/>
        <v>0.16210259097250729</v>
      </c>
      <c r="M58" s="14">
        <f t="shared" si="16"/>
        <v>0.11849999999999999</v>
      </c>
      <c r="N58" s="8" t="str">
        <f t="shared" si="17"/>
        <v/>
      </c>
    </row>
    <row r="59" spans="1:14" x14ac:dyDescent="0.25">
      <c r="A59" s="8">
        <v>57</v>
      </c>
      <c r="B59" s="9">
        <f t="shared" si="9"/>
        <v>0.56000000000000005</v>
      </c>
      <c r="C59" s="9">
        <f t="shared" si="10"/>
        <v>0.43999999999999995</v>
      </c>
      <c r="D59" s="10">
        <f>B59*Inputs!$D$6+C59*Inputs!$D$11</f>
        <v>0.1192</v>
      </c>
      <c r="E59" s="10">
        <f>B59*Inputs!$D$7+C59*Inputs!$D$12</f>
        <v>0.1928</v>
      </c>
      <c r="F59" s="11">
        <f>B59^2*Inputs!$D$7^2+C59^2*Inputs!$D$12^2+2*B59*C59*Inputs!$D$7*Inputs!$D$12*Inputs!$D$15</f>
        <v>2.6823040000000003E-2</v>
      </c>
      <c r="G59" s="10">
        <f t="shared" si="11"/>
        <v>0.16377740991968337</v>
      </c>
      <c r="H59" s="9">
        <f t="shared" si="12"/>
        <v>2.9022590080316629E-2</v>
      </c>
      <c r="I59" s="12">
        <f>IFERROR((D59-Inputs!$D$22)/G59,"")</f>
        <v>0.42252469393633563</v>
      </c>
      <c r="J59" s="9">
        <f t="shared" si="13"/>
        <v>0.16377740991968337</v>
      </c>
      <c r="K59" s="9">
        <f t="shared" si="14"/>
        <v>0.1192</v>
      </c>
      <c r="L59" s="9">
        <f t="shared" si="15"/>
        <v>0.16377740991968337</v>
      </c>
      <c r="M59" s="9">
        <f t="shared" si="16"/>
        <v>0.1192</v>
      </c>
      <c r="N59" s="13" t="str">
        <f t="shared" si="17"/>
        <v/>
      </c>
    </row>
    <row r="60" spans="1:14" x14ac:dyDescent="0.25">
      <c r="A60" s="8">
        <v>58</v>
      </c>
      <c r="B60" s="14">
        <f t="shared" si="9"/>
        <v>0.57000000000000006</v>
      </c>
      <c r="C60" s="14">
        <f t="shared" si="10"/>
        <v>0.42999999999999994</v>
      </c>
      <c r="D60" s="7">
        <f>B60*Inputs!$D$6+C60*Inputs!$D$11</f>
        <v>0.11990000000000001</v>
      </c>
      <c r="E60" s="7">
        <f>B60*Inputs!$D$7+C60*Inputs!$D$12</f>
        <v>0.19409999999999999</v>
      </c>
      <c r="F60" s="15">
        <f>B60^2*Inputs!$D$7^2+C60^2*Inputs!$D$12^2+2*B60*C60*Inputs!$D$7*Inputs!$D$12*Inputs!$D$15</f>
        <v>2.7380610000000003E-2</v>
      </c>
      <c r="G60" s="7">
        <f t="shared" si="11"/>
        <v>0.16547087356994283</v>
      </c>
      <c r="H60" s="14">
        <f t="shared" si="12"/>
        <v>2.8629126430057161E-2</v>
      </c>
      <c r="I60" s="16">
        <f>IFERROR((D60-Inputs!$D$22)/G60,"")</f>
        <v>0.42243083928878877</v>
      </c>
      <c r="J60" s="14">
        <f t="shared" si="13"/>
        <v>0.16547087356994283</v>
      </c>
      <c r="K60" s="14">
        <f t="shared" si="14"/>
        <v>0.11990000000000001</v>
      </c>
      <c r="L60" s="14">
        <f t="shared" si="15"/>
        <v>0.16547087356994283</v>
      </c>
      <c r="M60" s="14">
        <f t="shared" si="16"/>
        <v>0.11990000000000001</v>
      </c>
      <c r="N60" s="8" t="str">
        <f t="shared" si="17"/>
        <v/>
      </c>
    </row>
    <row r="61" spans="1:14" x14ac:dyDescent="0.25">
      <c r="A61" s="8">
        <v>59</v>
      </c>
      <c r="B61" s="9">
        <f t="shared" si="9"/>
        <v>0.57999999999999996</v>
      </c>
      <c r="C61" s="9">
        <f t="shared" si="10"/>
        <v>0.42000000000000004</v>
      </c>
      <c r="D61" s="10">
        <f>B61*Inputs!$D$6+C61*Inputs!$D$11</f>
        <v>0.1206</v>
      </c>
      <c r="E61" s="10">
        <f>B61*Inputs!$D$7+C61*Inputs!$D$12</f>
        <v>0.19539999999999999</v>
      </c>
      <c r="F61" s="11">
        <f>B61^2*Inputs!$D$7^2+C61^2*Inputs!$D$12^2+2*B61*C61*Inputs!$D$7*Inputs!$D$12*Inputs!$D$15</f>
        <v>2.7949959999999999E-2</v>
      </c>
      <c r="G61" s="10">
        <f t="shared" si="11"/>
        <v>0.16718241534324116</v>
      </c>
      <c r="H61" s="9">
        <f t="shared" si="12"/>
        <v>2.8217584656758832E-2</v>
      </c>
      <c r="I61" s="12">
        <f>IFERROR((D61-Inputs!$D$22)/G61,"")</f>
        <v>0.42229321699325606</v>
      </c>
      <c r="J61" s="9">
        <f t="shared" si="13"/>
        <v>0.16718241534324116</v>
      </c>
      <c r="K61" s="9">
        <f t="shared" si="14"/>
        <v>0.1206</v>
      </c>
      <c r="L61" s="9">
        <f t="shared" si="15"/>
        <v>0.16718241534324116</v>
      </c>
      <c r="M61" s="9">
        <f t="shared" si="16"/>
        <v>0.1206</v>
      </c>
      <c r="N61" s="13" t="str">
        <f t="shared" si="17"/>
        <v/>
      </c>
    </row>
    <row r="62" spans="1:14" x14ac:dyDescent="0.25">
      <c r="A62" s="8">
        <v>60</v>
      </c>
      <c r="B62" s="14">
        <f t="shared" si="9"/>
        <v>0.59</v>
      </c>
      <c r="C62" s="14">
        <f t="shared" si="10"/>
        <v>0.41000000000000003</v>
      </c>
      <c r="D62" s="7">
        <f>B62*Inputs!$D$6+C62*Inputs!$D$11</f>
        <v>0.12129999999999999</v>
      </c>
      <c r="E62" s="7">
        <f>B62*Inputs!$D$7+C62*Inputs!$D$12</f>
        <v>0.19669999999999999</v>
      </c>
      <c r="F62" s="15">
        <f>B62^2*Inputs!$D$7^2+C62^2*Inputs!$D$12^2+2*B62*C62*Inputs!$D$7*Inputs!$D$12*Inputs!$D$15</f>
        <v>2.8531089999999999E-2</v>
      </c>
      <c r="G62" s="7">
        <f t="shared" si="11"/>
        <v>0.16891148569591116</v>
      </c>
      <c r="H62" s="14">
        <f t="shared" si="12"/>
        <v>2.7788514304088824E-2</v>
      </c>
      <c r="I62" s="16">
        <f>IFERROR((D62-Inputs!$D$22)/G62,"")</f>
        <v>0.42211457501688382</v>
      </c>
      <c r="J62" s="14">
        <f t="shared" si="13"/>
        <v>0.16891148569591116</v>
      </c>
      <c r="K62" s="14">
        <f t="shared" si="14"/>
        <v>0.12129999999999999</v>
      </c>
      <c r="L62" s="14">
        <f t="shared" si="15"/>
        <v>0.16891148569591116</v>
      </c>
      <c r="M62" s="14">
        <f t="shared" si="16"/>
        <v>0.12129999999999999</v>
      </c>
      <c r="N62" s="8" t="str">
        <f t="shared" si="17"/>
        <v/>
      </c>
    </row>
    <row r="63" spans="1:14" x14ac:dyDescent="0.25">
      <c r="A63" s="8">
        <v>61</v>
      </c>
      <c r="B63" s="9">
        <f t="shared" si="9"/>
        <v>0.6</v>
      </c>
      <c r="C63" s="9">
        <f t="shared" si="10"/>
        <v>0.4</v>
      </c>
      <c r="D63" s="10">
        <f>B63*Inputs!$D$6+C63*Inputs!$D$11</f>
        <v>0.122</v>
      </c>
      <c r="E63" s="10">
        <f>B63*Inputs!$D$7+C63*Inputs!$D$12</f>
        <v>0.19800000000000001</v>
      </c>
      <c r="F63" s="11">
        <f>B63^2*Inputs!$D$7^2+C63^2*Inputs!$D$12^2+2*B63*C63*Inputs!$D$7*Inputs!$D$12*Inputs!$D$15</f>
        <v>2.9124000000000001E-2</v>
      </c>
      <c r="G63" s="10">
        <f t="shared" si="11"/>
        <v>0.1706575518399347</v>
      </c>
      <c r="H63" s="9">
        <f t="shared" si="12"/>
        <v>2.7342448160065314E-2</v>
      </c>
      <c r="I63" s="12">
        <f>IFERROR((D63-Inputs!$D$22)/G63,"")</f>
        <v>0.42189753236077798</v>
      </c>
      <c r="J63" s="9">
        <f t="shared" si="13"/>
        <v>0.1706575518399347</v>
      </c>
      <c r="K63" s="9">
        <f t="shared" si="14"/>
        <v>0.122</v>
      </c>
      <c r="L63" s="9">
        <f t="shared" si="15"/>
        <v>0.1706575518399347</v>
      </c>
      <c r="M63" s="9">
        <f t="shared" si="16"/>
        <v>0.122</v>
      </c>
      <c r="N63" s="13" t="str">
        <f t="shared" si="17"/>
        <v/>
      </c>
    </row>
    <row r="64" spans="1:14" x14ac:dyDescent="0.25">
      <c r="A64" s="8">
        <v>62</v>
      </c>
      <c r="B64" s="14">
        <f t="shared" si="9"/>
        <v>0.61</v>
      </c>
      <c r="C64" s="14">
        <f t="shared" si="10"/>
        <v>0.39</v>
      </c>
      <c r="D64" s="7">
        <f>B64*Inputs!$D$6+C64*Inputs!$D$11</f>
        <v>0.1227</v>
      </c>
      <c r="E64" s="7">
        <f>B64*Inputs!$D$7+C64*Inputs!$D$12</f>
        <v>0.1993</v>
      </c>
      <c r="F64" s="15">
        <f>B64^2*Inputs!$D$7^2+C64^2*Inputs!$D$12^2+2*B64*C64*Inputs!$D$7*Inputs!$D$12*Inputs!$D$15</f>
        <v>2.9728689999999999E-2</v>
      </c>
      <c r="G64" s="7">
        <f t="shared" si="11"/>
        <v>0.17242009743646475</v>
      </c>
      <c r="H64" s="14">
        <f t="shared" si="12"/>
        <v>2.6879902563535257E-2</v>
      </c>
      <c r="I64" s="16">
        <f>IFERROR((D64-Inputs!$D$22)/G64,"")</f>
        <v>0.4216445825103961</v>
      </c>
      <c r="J64" s="14">
        <f t="shared" si="13"/>
        <v>0.17242009743646475</v>
      </c>
      <c r="K64" s="14">
        <f t="shared" si="14"/>
        <v>0.1227</v>
      </c>
      <c r="L64" s="14">
        <f t="shared" si="15"/>
        <v>0.17242009743646475</v>
      </c>
      <c r="M64" s="14">
        <f t="shared" si="16"/>
        <v>0.1227</v>
      </c>
      <c r="N64" s="8" t="str">
        <f t="shared" si="17"/>
        <v/>
      </c>
    </row>
    <row r="65" spans="1:14" x14ac:dyDescent="0.25">
      <c r="A65" s="8">
        <v>63</v>
      </c>
      <c r="B65" s="9">
        <f t="shared" si="9"/>
        <v>0.62</v>
      </c>
      <c r="C65" s="9">
        <f t="shared" si="10"/>
        <v>0.38</v>
      </c>
      <c r="D65" s="10">
        <f>B65*Inputs!$D$6+C65*Inputs!$D$11</f>
        <v>0.1234</v>
      </c>
      <c r="E65" s="10">
        <f>B65*Inputs!$D$7+C65*Inputs!$D$12</f>
        <v>0.2006</v>
      </c>
      <c r="F65" s="11">
        <f>B65^2*Inputs!$D$7^2+C65^2*Inputs!$D$12^2+2*B65*C65*Inputs!$D$7*Inputs!$D$12*Inputs!$D$15</f>
        <v>3.0345159999999999E-2</v>
      </c>
      <c r="G65" s="10">
        <f t="shared" si="11"/>
        <v>0.17419862226780095</v>
      </c>
      <c r="H65" s="9">
        <f t="shared" si="12"/>
        <v>2.6401377732199055E-2</v>
      </c>
      <c r="I65" s="12">
        <f>IFERROR((D65-Inputs!$D$22)/G65,"")</f>
        <v>0.421358097121801</v>
      </c>
      <c r="J65" s="9">
        <f t="shared" si="13"/>
        <v>0.17419862226780095</v>
      </c>
      <c r="K65" s="9">
        <f t="shared" si="14"/>
        <v>0.1234</v>
      </c>
      <c r="L65" s="9">
        <f t="shared" si="15"/>
        <v>0.17419862226780095</v>
      </c>
      <c r="M65" s="9">
        <f t="shared" si="16"/>
        <v>0.1234</v>
      </c>
      <c r="N65" s="13" t="str">
        <f t="shared" si="17"/>
        <v/>
      </c>
    </row>
    <row r="66" spans="1:14" x14ac:dyDescent="0.25">
      <c r="A66" s="8">
        <v>64</v>
      </c>
      <c r="B66" s="14">
        <f t="shared" si="9"/>
        <v>0.63</v>
      </c>
      <c r="C66" s="14">
        <f t="shared" si="10"/>
        <v>0.37</v>
      </c>
      <c r="D66" s="7">
        <f>B66*Inputs!$D$6+C66*Inputs!$D$11</f>
        <v>0.1241</v>
      </c>
      <c r="E66" s="7">
        <f>B66*Inputs!$D$7+C66*Inputs!$D$12</f>
        <v>0.2019</v>
      </c>
      <c r="F66" s="15">
        <f>B66^2*Inputs!$D$7^2+C66^2*Inputs!$D$12^2+2*B66*C66*Inputs!$D$7*Inputs!$D$12*Inputs!$D$15</f>
        <v>3.097341E-2</v>
      </c>
      <c r="G66" s="7">
        <f t="shared" si="11"/>
        <v>0.17599264189164274</v>
      </c>
      <c r="H66" s="14">
        <f t="shared" si="12"/>
        <v>2.5907358108357259E-2</v>
      </c>
      <c r="I66" s="16">
        <f>IFERROR((D66-Inputs!$D$22)/G66,"")</f>
        <v>0.42104032988846646</v>
      </c>
      <c r="J66" s="14">
        <f t="shared" si="13"/>
        <v>0.17599264189164274</v>
      </c>
      <c r="K66" s="14">
        <f t="shared" si="14"/>
        <v>0.1241</v>
      </c>
      <c r="L66" s="14">
        <f t="shared" si="15"/>
        <v>0.17599264189164274</v>
      </c>
      <c r="M66" s="14">
        <f t="shared" si="16"/>
        <v>0.1241</v>
      </c>
      <c r="N66" s="8" t="str">
        <f t="shared" si="17"/>
        <v/>
      </c>
    </row>
    <row r="67" spans="1:14" x14ac:dyDescent="0.25">
      <c r="A67" s="8">
        <v>65</v>
      </c>
      <c r="B67" s="9">
        <f t="shared" ref="B67:B103" si="18">(ROW()-3)*0.01</f>
        <v>0.64</v>
      </c>
      <c r="C67" s="9">
        <f t="shared" ref="C67:C98" si="19">1-B67</f>
        <v>0.36</v>
      </c>
      <c r="D67" s="10">
        <f>B67*Inputs!$D$6+C67*Inputs!$D$11</f>
        <v>0.12479999999999999</v>
      </c>
      <c r="E67" s="10">
        <f>B67*Inputs!$D$7+C67*Inputs!$D$12</f>
        <v>0.20319999999999999</v>
      </c>
      <c r="F67" s="11">
        <f>B67^2*Inputs!$D$7^2+C67^2*Inputs!$D$12^2+2*B67*C67*Inputs!$D$7*Inputs!$D$12*Inputs!$D$15</f>
        <v>3.161344E-2</v>
      </c>
      <c r="G67" s="10">
        <f t="shared" ref="G67:G98" si="20">SQRT(F67)</f>
        <v>0.17780168728108292</v>
      </c>
      <c r="H67" s="9">
        <f t="shared" ref="H67:H98" si="21">E67-G67</f>
        <v>2.5398312718917071E-2</v>
      </c>
      <c r="I67" s="12">
        <f>IFERROR((D67-Inputs!$D$22)/G67,"")</f>
        <v>0.4206934205396502</v>
      </c>
      <c r="J67" s="9">
        <f t="shared" ref="J67:J103" si="22">IF(D67&gt;=INDEX($D$3:$D$103,MATCH(MIN($G$3:$G$103),$G$3:$G$103,0)),G67,NA())</f>
        <v>0.17780168728108292</v>
      </c>
      <c r="K67" s="9">
        <f t="shared" ref="K67:K103" si="23">IF(D67&gt;=INDEX($D$3:$D$103,MATCH(MIN($G$3:$G$103),$G$3:$G$103,0)),D67,NA())</f>
        <v>0.12479999999999999</v>
      </c>
      <c r="L67" s="9">
        <f t="shared" ref="L67:L103" si="24">G67</f>
        <v>0.17780168728108292</v>
      </c>
      <c r="M67" s="9">
        <f t="shared" ref="M67:M103" si="25">D67</f>
        <v>0.12479999999999999</v>
      </c>
      <c r="N67" s="13" t="str">
        <f t="shared" ref="N67:N103" si="26">IF(ABS(G67-MIN($G$3:$G$103))&lt;0.00001,"★ MVP","")</f>
        <v/>
      </c>
    </row>
    <row r="68" spans="1:14" x14ac:dyDescent="0.25">
      <c r="A68" s="8">
        <v>66</v>
      </c>
      <c r="B68" s="14">
        <f t="shared" si="18"/>
        <v>0.65</v>
      </c>
      <c r="C68" s="14">
        <f t="shared" si="19"/>
        <v>0.35</v>
      </c>
      <c r="D68" s="7">
        <f>B68*Inputs!$D$6+C68*Inputs!$D$11</f>
        <v>0.1255</v>
      </c>
      <c r="E68" s="7">
        <f>B68*Inputs!$D$7+C68*Inputs!$D$12</f>
        <v>0.20450000000000002</v>
      </c>
      <c r="F68" s="15">
        <f>B68^2*Inputs!$D$7^2+C68^2*Inputs!$D$12^2+2*B68*C68*Inputs!$D$7*Inputs!$D$12*Inputs!$D$15</f>
        <v>3.2265250000000002E-2</v>
      </c>
      <c r="G68" s="7">
        <f t="shared" si="20"/>
        <v>0.17962530445346503</v>
      </c>
      <c r="H68" s="14">
        <f t="shared" si="21"/>
        <v>2.4874695546534986E-2</v>
      </c>
      <c r="I68" s="16">
        <f>IFERROR((D68-Inputs!$D$22)/G68,"")</f>
        <v>0.42031939892722381</v>
      </c>
      <c r="J68" s="14">
        <f t="shared" si="22"/>
        <v>0.17962530445346503</v>
      </c>
      <c r="K68" s="14">
        <f t="shared" si="23"/>
        <v>0.1255</v>
      </c>
      <c r="L68" s="14">
        <f t="shared" si="24"/>
        <v>0.17962530445346503</v>
      </c>
      <c r="M68" s="14">
        <f t="shared" si="25"/>
        <v>0.1255</v>
      </c>
      <c r="N68" s="8" t="str">
        <f t="shared" si="26"/>
        <v/>
      </c>
    </row>
    <row r="69" spans="1:14" x14ac:dyDescent="0.25">
      <c r="A69" s="8">
        <v>67</v>
      </c>
      <c r="B69" s="9">
        <f t="shared" si="18"/>
        <v>0.66</v>
      </c>
      <c r="C69" s="9">
        <f t="shared" si="19"/>
        <v>0.33999999999999997</v>
      </c>
      <c r="D69" s="10">
        <f>B69*Inputs!$D$6+C69*Inputs!$D$11</f>
        <v>0.12620000000000001</v>
      </c>
      <c r="E69" s="10">
        <f>B69*Inputs!$D$7+C69*Inputs!$D$12</f>
        <v>0.20580000000000001</v>
      </c>
      <c r="F69" s="11">
        <f>B69^2*Inputs!$D$7^2+C69^2*Inputs!$D$12^2+2*B69*C69*Inputs!$D$7*Inputs!$D$12*Inputs!$D$15</f>
        <v>3.2928840000000001E-2</v>
      </c>
      <c r="G69" s="10">
        <f t="shared" si="20"/>
        <v>0.18146305409090854</v>
      </c>
      <c r="H69" s="9">
        <f t="shared" si="21"/>
        <v>2.4336945909091467E-2</v>
      </c>
      <c r="I69" s="12">
        <f>IFERROR((D69-Inputs!$D$22)/G69,"")</f>
        <v>0.41992018916327545</v>
      </c>
      <c r="J69" s="9">
        <f t="shared" si="22"/>
        <v>0.18146305409090854</v>
      </c>
      <c r="K69" s="9">
        <f t="shared" si="23"/>
        <v>0.12620000000000001</v>
      </c>
      <c r="L69" s="9">
        <f t="shared" si="24"/>
        <v>0.18146305409090854</v>
      </c>
      <c r="M69" s="9">
        <f t="shared" si="25"/>
        <v>0.12620000000000001</v>
      </c>
      <c r="N69" s="13" t="str">
        <f t="shared" si="26"/>
        <v/>
      </c>
    </row>
    <row r="70" spans="1:14" x14ac:dyDescent="0.25">
      <c r="A70" s="8">
        <v>68</v>
      </c>
      <c r="B70" s="14">
        <f t="shared" si="18"/>
        <v>0.67</v>
      </c>
      <c r="C70" s="14">
        <f t="shared" si="19"/>
        <v>0.32999999999999996</v>
      </c>
      <c r="D70" s="7">
        <f>B70*Inputs!$D$6+C70*Inputs!$D$11</f>
        <v>0.12690000000000001</v>
      </c>
      <c r="E70" s="7">
        <f>B70*Inputs!$D$7+C70*Inputs!$D$12</f>
        <v>0.20710000000000001</v>
      </c>
      <c r="F70" s="15">
        <f>B70^2*Inputs!$D$7^2+C70^2*Inputs!$D$12^2+2*B70*C70*Inputs!$D$7*Inputs!$D$12*Inputs!$D$15</f>
        <v>3.3604210000000002E-2</v>
      </c>
      <c r="G70" s="7">
        <f t="shared" si="20"/>
        <v>0.18331451115500924</v>
      </c>
      <c r="H70" s="14">
        <f t="shared" si="21"/>
        <v>2.3785488844990765E-2</v>
      </c>
      <c r="I70" s="16">
        <f>IFERROR((D70-Inputs!$D$22)/G70,"")</f>
        <v>0.41949761377578015</v>
      </c>
      <c r="J70" s="14">
        <f t="shared" si="22"/>
        <v>0.18331451115500924</v>
      </c>
      <c r="K70" s="14">
        <f t="shared" si="23"/>
        <v>0.12690000000000001</v>
      </c>
      <c r="L70" s="14">
        <f t="shared" si="24"/>
        <v>0.18331451115500924</v>
      </c>
      <c r="M70" s="14">
        <f t="shared" si="25"/>
        <v>0.12690000000000001</v>
      </c>
      <c r="N70" s="8" t="str">
        <f t="shared" si="26"/>
        <v/>
      </c>
    </row>
    <row r="71" spans="1:14" x14ac:dyDescent="0.25">
      <c r="A71" s="8">
        <v>69</v>
      </c>
      <c r="B71" s="9">
        <f t="shared" si="18"/>
        <v>0.68</v>
      </c>
      <c r="C71" s="9">
        <f t="shared" si="19"/>
        <v>0.31999999999999995</v>
      </c>
      <c r="D71" s="10">
        <f>B71*Inputs!$D$6+C71*Inputs!$D$11</f>
        <v>0.12759999999999999</v>
      </c>
      <c r="E71" s="10">
        <f>B71*Inputs!$D$7+C71*Inputs!$D$12</f>
        <v>0.2084</v>
      </c>
      <c r="F71" s="11">
        <f>B71^2*Inputs!$D$7^2+C71^2*Inputs!$D$12^2+2*B71*C71*Inputs!$D$7*Inputs!$D$12*Inputs!$D$15</f>
        <v>3.4291360000000007E-2</v>
      </c>
      <c r="G71" s="10">
        <f t="shared" si="20"/>
        <v>0.18517926449794536</v>
      </c>
      <c r="H71" s="9">
        <f t="shared" si="21"/>
        <v>2.322073550205464E-2</v>
      </c>
      <c r="I71" s="12">
        <f>IFERROR((D71-Inputs!$D$22)/G71,"")</f>
        <v>0.41905339785416951</v>
      </c>
      <c r="J71" s="9">
        <f t="shared" si="22"/>
        <v>0.18517926449794536</v>
      </c>
      <c r="K71" s="9">
        <f t="shared" si="23"/>
        <v>0.12759999999999999</v>
      </c>
      <c r="L71" s="9">
        <f t="shared" si="24"/>
        <v>0.18517926449794536</v>
      </c>
      <c r="M71" s="9">
        <f t="shared" si="25"/>
        <v>0.12759999999999999</v>
      </c>
      <c r="N71" s="13" t="str">
        <f t="shared" si="26"/>
        <v/>
      </c>
    </row>
    <row r="72" spans="1:14" x14ac:dyDescent="0.25">
      <c r="A72" s="8">
        <v>70</v>
      </c>
      <c r="B72" s="14">
        <f t="shared" si="18"/>
        <v>0.69000000000000006</v>
      </c>
      <c r="C72" s="14">
        <f t="shared" si="19"/>
        <v>0.30999999999999994</v>
      </c>
      <c r="D72" s="7">
        <f>B72*Inputs!$D$6+C72*Inputs!$D$11</f>
        <v>0.1283</v>
      </c>
      <c r="E72" s="7">
        <f>B72*Inputs!$D$7+C72*Inputs!$D$12</f>
        <v>0.2097</v>
      </c>
      <c r="F72" s="15">
        <f>B72^2*Inputs!$D$7^2+C72^2*Inputs!$D$12^2+2*B72*C72*Inputs!$D$7*Inputs!$D$12*Inputs!$D$15</f>
        <v>3.4990290000000007E-2</v>
      </c>
      <c r="G72" s="7">
        <f t="shared" si="20"/>
        <v>0.18705691647196585</v>
      </c>
      <c r="H72" s="14">
        <f t="shared" si="21"/>
        <v>2.2643083528034152E-2</v>
      </c>
      <c r="I72" s="16">
        <f>IFERROR((D72-Inputs!$D$22)/G72,"")</f>
        <v>0.41858917316075178</v>
      </c>
      <c r="J72" s="14">
        <f t="shared" si="22"/>
        <v>0.18705691647196585</v>
      </c>
      <c r="K72" s="14">
        <f t="shared" si="23"/>
        <v>0.1283</v>
      </c>
      <c r="L72" s="14">
        <f t="shared" si="24"/>
        <v>0.18705691647196585</v>
      </c>
      <c r="M72" s="14">
        <f t="shared" si="25"/>
        <v>0.1283</v>
      </c>
      <c r="N72" s="8" t="str">
        <f t="shared" si="26"/>
        <v/>
      </c>
    </row>
    <row r="73" spans="1:14" x14ac:dyDescent="0.25">
      <c r="A73" s="8">
        <v>71</v>
      </c>
      <c r="B73" s="9">
        <f t="shared" si="18"/>
        <v>0.70000000000000007</v>
      </c>
      <c r="C73" s="9">
        <f t="shared" si="19"/>
        <v>0.29999999999999993</v>
      </c>
      <c r="D73" s="10">
        <f>B73*Inputs!$D$6+C73*Inputs!$D$11</f>
        <v>0.129</v>
      </c>
      <c r="E73" s="10">
        <f>B73*Inputs!$D$7+C73*Inputs!$D$12</f>
        <v>0.21100000000000002</v>
      </c>
      <c r="F73" s="11">
        <f>B73^2*Inputs!$D$7^2+C73^2*Inputs!$D$12^2+2*B73*C73*Inputs!$D$7*Inputs!$D$12*Inputs!$D$15</f>
        <v>3.5701000000000004E-2</v>
      </c>
      <c r="G73" s="10">
        <f t="shared" si="20"/>
        <v>0.18894708253900086</v>
      </c>
      <c r="H73" s="9">
        <f t="shared" si="21"/>
        <v>2.2052917460999161E-2</v>
      </c>
      <c r="I73" s="12">
        <f>IFERROR((D73-Inputs!$D$22)/G73,"")</f>
        <v>0.41810648218764368</v>
      </c>
      <c r="J73" s="9">
        <f t="shared" si="22"/>
        <v>0.18894708253900086</v>
      </c>
      <c r="K73" s="9">
        <f t="shared" si="23"/>
        <v>0.129</v>
      </c>
      <c r="L73" s="9">
        <f t="shared" si="24"/>
        <v>0.18894708253900086</v>
      </c>
      <c r="M73" s="9">
        <f t="shared" si="25"/>
        <v>0.129</v>
      </c>
      <c r="N73" s="13" t="str">
        <f t="shared" si="26"/>
        <v/>
      </c>
    </row>
    <row r="74" spans="1:14" x14ac:dyDescent="0.25">
      <c r="A74" s="8">
        <v>72</v>
      </c>
      <c r="B74" s="14">
        <f t="shared" si="18"/>
        <v>0.71</v>
      </c>
      <c r="C74" s="14">
        <f t="shared" si="19"/>
        <v>0.29000000000000004</v>
      </c>
      <c r="D74" s="7">
        <f>B74*Inputs!$D$6+C74*Inputs!$D$11</f>
        <v>0.12970000000000001</v>
      </c>
      <c r="E74" s="7">
        <f>B74*Inputs!$D$7+C74*Inputs!$D$12</f>
        <v>0.21229999999999999</v>
      </c>
      <c r="F74" s="15">
        <f>B74^2*Inputs!$D$7^2+C74^2*Inputs!$D$12^2+2*B74*C74*Inputs!$D$7*Inputs!$D$12*Inputs!$D$15</f>
        <v>3.6423490000000003E-2</v>
      </c>
      <c r="G74" s="7">
        <f t="shared" si="20"/>
        <v>0.19084939088192029</v>
      </c>
      <c r="H74" s="14">
        <f t="shared" si="21"/>
        <v>2.1450609118079694E-2</v>
      </c>
      <c r="I74" s="16">
        <f>IFERROR((D74-Inputs!$D$22)/G74,"")</f>
        <v>0.41760678214221231</v>
      </c>
      <c r="J74" s="14">
        <f t="shared" si="22"/>
        <v>0.19084939088192029</v>
      </c>
      <c r="K74" s="14">
        <f t="shared" si="23"/>
        <v>0.12970000000000001</v>
      </c>
      <c r="L74" s="14">
        <f t="shared" si="24"/>
        <v>0.19084939088192029</v>
      </c>
      <c r="M74" s="14">
        <f t="shared" si="25"/>
        <v>0.12970000000000001</v>
      </c>
      <c r="N74" s="8" t="str">
        <f t="shared" si="26"/>
        <v/>
      </c>
    </row>
    <row r="75" spans="1:14" x14ac:dyDescent="0.25">
      <c r="A75" s="8">
        <v>73</v>
      </c>
      <c r="B75" s="9">
        <f t="shared" si="18"/>
        <v>0.72</v>
      </c>
      <c r="C75" s="9">
        <f t="shared" si="19"/>
        <v>0.28000000000000003</v>
      </c>
      <c r="D75" s="10">
        <f>B75*Inputs!$D$6+C75*Inputs!$D$11</f>
        <v>0.13040000000000002</v>
      </c>
      <c r="E75" s="10">
        <f>B75*Inputs!$D$7+C75*Inputs!$D$12</f>
        <v>0.21360000000000001</v>
      </c>
      <c r="F75" s="11">
        <f>B75^2*Inputs!$D$7^2+C75^2*Inputs!$D$12^2+2*B75*C75*Inputs!$D$7*Inputs!$D$12*Inputs!$D$15</f>
        <v>3.7157759999999998E-2</v>
      </c>
      <c r="G75" s="10">
        <f t="shared" si="20"/>
        <v>0.19276348201876828</v>
      </c>
      <c r="H75" s="9">
        <f t="shared" si="21"/>
        <v>2.0836517981231734E-2</v>
      </c>
      <c r="I75" s="12">
        <f>IFERROR((D75-Inputs!$D$22)/G75,"")</f>
        <v>0.41709144884699645</v>
      </c>
      <c r="J75" s="9">
        <f t="shared" si="22"/>
        <v>0.19276348201876828</v>
      </c>
      <c r="K75" s="9">
        <f t="shared" si="23"/>
        <v>0.13040000000000002</v>
      </c>
      <c r="L75" s="9">
        <f t="shared" si="24"/>
        <v>0.19276348201876828</v>
      </c>
      <c r="M75" s="9">
        <f t="shared" si="25"/>
        <v>0.13040000000000002</v>
      </c>
      <c r="N75" s="13" t="str">
        <f t="shared" si="26"/>
        <v/>
      </c>
    </row>
    <row r="76" spans="1:14" x14ac:dyDescent="0.25">
      <c r="A76" s="8">
        <v>74</v>
      </c>
      <c r="B76" s="14">
        <f t="shared" si="18"/>
        <v>0.73</v>
      </c>
      <c r="C76" s="14">
        <f t="shared" si="19"/>
        <v>0.27</v>
      </c>
      <c r="D76" s="7">
        <f>B76*Inputs!$D$6+C76*Inputs!$D$11</f>
        <v>0.13109999999999999</v>
      </c>
      <c r="E76" s="7">
        <f>B76*Inputs!$D$7+C76*Inputs!$D$12</f>
        <v>0.21489999999999998</v>
      </c>
      <c r="F76" s="15">
        <f>B76^2*Inputs!$D$7^2+C76^2*Inputs!$D$12^2+2*B76*C76*Inputs!$D$7*Inputs!$D$12*Inputs!$D$15</f>
        <v>3.7903809999999989E-2</v>
      </c>
      <c r="G76" s="7">
        <f t="shared" si="20"/>
        <v>0.19468900842112272</v>
      </c>
      <c r="H76" s="14">
        <f t="shared" si="21"/>
        <v>2.0210991578877263E-2</v>
      </c>
      <c r="I76" s="16">
        <f>IFERROR((D76-Inputs!$D$22)/G76,"")</f>
        <v>0.41656178054272258</v>
      </c>
      <c r="J76" s="14">
        <f t="shared" si="22"/>
        <v>0.19468900842112272</v>
      </c>
      <c r="K76" s="14">
        <f t="shared" si="23"/>
        <v>0.13109999999999999</v>
      </c>
      <c r="L76" s="14">
        <f t="shared" si="24"/>
        <v>0.19468900842112272</v>
      </c>
      <c r="M76" s="14">
        <f t="shared" si="25"/>
        <v>0.13109999999999999</v>
      </c>
      <c r="N76" s="8" t="str">
        <f t="shared" si="26"/>
        <v/>
      </c>
    </row>
    <row r="77" spans="1:14" x14ac:dyDescent="0.25">
      <c r="A77" s="8">
        <v>75</v>
      </c>
      <c r="B77" s="9">
        <f t="shared" si="18"/>
        <v>0.74</v>
      </c>
      <c r="C77" s="9">
        <f t="shared" si="19"/>
        <v>0.26</v>
      </c>
      <c r="D77" s="10">
        <f>B77*Inputs!$D$6+C77*Inputs!$D$11</f>
        <v>0.1318</v>
      </c>
      <c r="E77" s="10">
        <f>B77*Inputs!$D$7+C77*Inputs!$D$12</f>
        <v>0.2162</v>
      </c>
      <c r="F77" s="11">
        <f>B77^2*Inputs!$D$7^2+C77^2*Inputs!$D$12^2+2*B77*C77*Inputs!$D$7*Inputs!$D$12*Inputs!$D$15</f>
        <v>3.8661639999999997E-2</v>
      </c>
      <c r="G77" s="10">
        <f t="shared" si="20"/>
        <v>0.19662563413756609</v>
      </c>
      <c r="H77" s="9">
        <f t="shared" si="21"/>
        <v>1.9574365862433912E-2</v>
      </c>
      <c r="I77" s="12">
        <f>IFERROR((D77-Inputs!$D$22)/G77,"")</f>
        <v>0.41601900158536748</v>
      </c>
      <c r="J77" s="9">
        <f t="shared" si="22"/>
        <v>0.19662563413756609</v>
      </c>
      <c r="K77" s="9">
        <f t="shared" si="23"/>
        <v>0.1318</v>
      </c>
      <c r="L77" s="9">
        <f t="shared" si="24"/>
        <v>0.19662563413756609</v>
      </c>
      <c r="M77" s="9">
        <f t="shared" si="25"/>
        <v>0.1318</v>
      </c>
      <c r="N77" s="13" t="str">
        <f t="shared" si="26"/>
        <v/>
      </c>
    </row>
    <row r="78" spans="1:14" x14ac:dyDescent="0.25">
      <c r="A78" s="8">
        <v>76</v>
      </c>
      <c r="B78" s="14">
        <f t="shared" si="18"/>
        <v>0.75</v>
      </c>
      <c r="C78" s="14">
        <f t="shared" si="19"/>
        <v>0.25</v>
      </c>
      <c r="D78" s="7">
        <f>B78*Inputs!$D$6+C78*Inputs!$D$11</f>
        <v>0.13249999999999998</v>
      </c>
      <c r="E78" s="7">
        <f>B78*Inputs!$D$7+C78*Inputs!$D$12</f>
        <v>0.2175</v>
      </c>
      <c r="F78" s="15">
        <f>B78^2*Inputs!$D$7^2+C78^2*Inputs!$D$12^2+2*B78*C78*Inputs!$D$7*Inputs!$D$12*Inputs!$D$15</f>
        <v>3.9431250000000001E-2</v>
      </c>
      <c r="G78" s="7">
        <f t="shared" si="20"/>
        <v>0.19857303442310589</v>
      </c>
      <c r="H78" s="14">
        <f t="shared" si="21"/>
        <v>1.8926965576894106E-2</v>
      </c>
      <c r="I78" s="16">
        <f>IFERROR((D78-Inputs!$D$22)/G78,"")</f>
        <v>0.41546426603027375</v>
      </c>
      <c r="J78" s="14">
        <f t="shared" si="22"/>
        <v>0.19857303442310589</v>
      </c>
      <c r="K78" s="14">
        <f t="shared" si="23"/>
        <v>0.13249999999999998</v>
      </c>
      <c r="L78" s="14">
        <f t="shared" si="24"/>
        <v>0.19857303442310589</v>
      </c>
      <c r="M78" s="14">
        <f t="shared" si="25"/>
        <v>0.13249999999999998</v>
      </c>
      <c r="N78" s="8" t="str">
        <f t="shared" si="26"/>
        <v/>
      </c>
    </row>
    <row r="79" spans="1:14" x14ac:dyDescent="0.25">
      <c r="A79" s="8">
        <v>77</v>
      </c>
      <c r="B79" s="9">
        <f t="shared" si="18"/>
        <v>0.76</v>
      </c>
      <c r="C79" s="9">
        <f t="shared" si="19"/>
        <v>0.24</v>
      </c>
      <c r="D79" s="10">
        <f>B79*Inputs!$D$6+C79*Inputs!$D$11</f>
        <v>0.13319999999999999</v>
      </c>
      <c r="E79" s="10">
        <f>B79*Inputs!$D$7+C79*Inputs!$D$12</f>
        <v>0.21879999999999999</v>
      </c>
      <c r="F79" s="11">
        <f>B79^2*Inputs!$D$7^2+C79^2*Inputs!$D$12^2+2*B79*C79*Inputs!$D$7*Inputs!$D$12*Inputs!$D$15</f>
        <v>4.0212640000000001E-2</v>
      </c>
      <c r="G79" s="10">
        <f t="shared" si="20"/>
        <v>0.20053089537525134</v>
      </c>
      <c r="H79" s="9">
        <f t="shared" si="21"/>
        <v>1.826910462474865E-2</v>
      </c>
      <c r="I79" s="12">
        <f>IFERROR((D79-Inputs!$D$22)/G79,"")</f>
        <v>0.41489866109812507</v>
      </c>
      <c r="J79" s="9">
        <f t="shared" si="22"/>
        <v>0.20053089537525134</v>
      </c>
      <c r="K79" s="9">
        <f t="shared" si="23"/>
        <v>0.13319999999999999</v>
      </c>
      <c r="L79" s="9">
        <f t="shared" si="24"/>
        <v>0.20053089537525134</v>
      </c>
      <c r="M79" s="9">
        <f t="shared" si="25"/>
        <v>0.13319999999999999</v>
      </c>
      <c r="N79" s="13" t="str">
        <f t="shared" si="26"/>
        <v/>
      </c>
    </row>
    <row r="80" spans="1:14" x14ac:dyDescent="0.25">
      <c r="A80" s="8">
        <v>78</v>
      </c>
      <c r="B80" s="14">
        <f t="shared" si="18"/>
        <v>0.77</v>
      </c>
      <c r="C80" s="14">
        <f t="shared" si="19"/>
        <v>0.22999999999999998</v>
      </c>
      <c r="D80" s="7">
        <f>B80*Inputs!$D$6+C80*Inputs!$D$11</f>
        <v>0.13389999999999999</v>
      </c>
      <c r="E80" s="7">
        <f>B80*Inputs!$D$7+C80*Inputs!$D$12</f>
        <v>0.22009999999999999</v>
      </c>
      <c r="F80" s="15">
        <f>B80^2*Inputs!$D$7^2+C80^2*Inputs!$D$12^2+2*B80*C80*Inputs!$D$7*Inputs!$D$12*Inputs!$D$15</f>
        <v>4.1005809999999997E-2</v>
      </c>
      <c r="G80" s="7">
        <f t="shared" si="20"/>
        <v>0.20249891357733255</v>
      </c>
      <c r="H80" s="14">
        <f t="shared" si="21"/>
        <v>1.7601086422667445E-2</v>
      </c>
      <c r="I80" s="16">
        <f>IFERROR((D80-Inputs!$D$22)/G80,"")</f>
        <v>0.41432321051914839</v>
      </c>
      <c r="J80" s="14">
        <f t="shared" si="22"/>
        <v>0.20249891357733255</v>
      </c>
      <c r="K80" s="14">
        <f t="shared" si="23"/>
        <v>0.13389999999999999</v>
      </c>
      <c r="L80" s="14">
        <f t="shared" si="24"/>
        <v>0.20249891357733255</v>
      </c>
      <c r="M80" s="14">
        <f t="shared" si="25"/>
        <v>0.13389999999999999</v>
      </c>
      <c r="N80" s="8" t="str">
        <f t="shared" si="26"/>
        <v/>
      </c>
    </row>
    <row r="81" spans="1:14" x14ac:dyDescent="0.25">
      <c r="A81" s="8">
        <v>79</v>
      </c>
      <c r="B81" s="9">
        <f t="shared" si="18"/>
        <v>0.78</v>
      </c>
      <c r="C81" s="9">
        <f t="shared" si="19"/>
        <v>0.21999999999999997</v>
      </c>
      <c r="D81" s="10">
        <f>B81*Inputs!$D$6+C81*Inputs!$D$11</f>
        <v>0.1346</v>
      </c>
      <c r="E81" s="10">
        <f>B81*Inputs!$D$7+C81*Inputs!$D$12</f>
        <v>0.22140000000000001</v>
      </c>
      <c r="F81" s="11">
        <f>B81^2*Inputs!$D$7^2+C81^2*Inputs!$D$12^2+2*B81*C81*Inputs!$D$7*Inputs!$D$12*Inputs!$D$15</f>
        <v>4.1810760000000002E-2</v>
      </c>
      <c r="G81" s="10">
        <f t="shared" si="20"/>
        <v>0.2044767957495422</v>
      </c>
      <c r="H81" s="9">
        <f t="shared" si="21"/>
        <v>1.6923204250457818E-2</v>
      </c>
      <c r="I81" s="12">
        <f>IFERROR((D81-Inputs!$D$22)/G81,"")</f>
        <v>0.41373887775326901</v>
      </c>
      <c r="J81" s="9">
        <f t="shared" si="22"/>
        <v>0.2044767957495422</v>
      </c>
      <c r="K81" s="9">
        <f t="shared" si="23"/>
        <v>0.1346</v>
      </c>
      <c r="L81" s="9">
        <f t="shared" si="24"/>
        <v>0.2044767957495422</v>
      </c>
      <c r="M81" s="9">
        <f t="shared" si="25"/>
        <v>0.1346</v>
      </c>
      <c r="N81" s="13" t="str">
        <f t="shared" si="26"/>
        <v/>
      </c>
    </row>
    <row r="82" spans="1:14" x14ac:dyDescent="0.25">
      <c r="A82" s="8">
        <v>80</v>
      </c>
      <c r="B82" s="14">
        <f t="shared" si="18"/>
        <v>0.79</v>
      </c>
      <c r="C82" s="14">
        <f t="shared" si="19"/>
        <v>0.20999999999999996</v>
      </c>
      <c r="D82" s="7">
        <f>B82*Inputs!$D$6+C82*Inputs!$D$11</f>
        <v>0.1353</v>
      </c>
      <c r="E82" s="7">
        <f>B82*Inputs!$D$7+C82*Inputs!$D$12</f>
        <v>0.22270000000000001</v>
      </c>
      <c r="F82" s="15">
        <f>B82^2*Inputs!$D$7^2+C82^2*Inputs!$D$12^2+2*B82*C82*Inputs!$D$7*Inputs!$D$12*Inputs!$D$15</f>
        <v>4.2627490000000004E-2</v>
      </c>
      <c r="G82" s="7">
        <f t="shared" si="20"/>
        <v>0.2064642584080838</v>
      </c>
      <c r="H82" s="14">
        <f t="shared" si="21"/>
        <v>1.6235741591916208E-2</v>
      </c>
      <c r="I82" s="16">
        <f>IFERROR((D82-Inputs!$D$22)/G82,"")</f>
        <v>0.41314656908510322</v>
      </c>
      <c r="J82" s="14">
        <f t="shared" si="22"/>
        <v>0.2064642584080838</v>
      </c>
      <c r="K82" s="14">
        <f t="shared" si="23"/>
        <v>0.1353</v>
      </c>
      <c r="L82" s="14">
        <f t="shared" si="24"/>
        <v>0.2064642584080838</v>
      </c>
      <c r="M82" s="14">
        <f t="shared" si="25"/>
        <v>0.1353</v>
      </c>
      <c r="N82" s="8" t="str">
        <f t="shared" si="26"/>
        <v/>
      </c>
    </row>
    <row r="83" spans="1:14" x14ac:dyDescent="0.25">
      <c r="A83" s="8">
        <v>81</v>
      </c>
      <c r="B83" s="9">
        <f t="shared" si="18"/>
        <v>0.8</v>
      </c>
      <c r="C83" s="9">
        <f t="shared" si="19"/>
        <v>0.19999999999999996</v>
      </c>
      <c r="D83" s="10">
        <f>B83*Inputs!$D$6+C83*Inputs!$D$11</f>
        <v>0.13599999999999998</v>
      </c>
      <c r="E83" s="10">
        <f>B83*Inputs!$D$7+C83*Inputs!$D$12</f>
        <v>0.224</v>
      </c>
      <c r="F83" s="11">
        <f>B83^2*Inputs!$D$7^2+C83^2*Inputs!$D$12^2+2*B83*C83*Inputs!$D$7*Inputs!$D$12*Inputs!$D$15</f>
        <v>4.3456000000000009E-2</v>
      </c>
      <c r="G83" s="10">
        <f t="shared" si="20"/>
        <v>0.20846102753272613</v>
      </c>
      <c r="H83" s="9">
        <f t="shared" si="21"/>
        <v>1.553897246727387E-2</v>
      </c>
      <c r="I83" s="12">
        <f>IFERROR((D83-Inputs!$D$22)/G83,"")</f>
        <v>0.4125471365936681</v>
      </c>
      <c r="J83" s="9">
        <f t="shared" si="22"/>
        <v>0.20846102753272613</v>
      </c>
      <c r="K83" s="9">
        <f t="shared" si="23"/>
        <v>0.13599999999999998</v>
      </c>
      <c r="L83" s="9">
        <f t="shared" si="24"/>
        <v>0.20846102753272613</v>
      </c>
      <c r="M83" s="9">
        <f t="shared" si="25"/>
        <v>0.13599999999999998</v>
      </c>
      <c r="N83" s="13" t="str">
        <f t="shared" si="26"/>
        <v/>
      </c>
    </row>
    <row r="84" spans="1:14" x14ac:dyDescent="0.25">
      <c r="A84" s="8">
        <v>82</v>
      </c>
      <c r="B84" s="14">
        <f t="shared" si="18"/>
        <v>0.81</v>
      </c>
      <c r="C84" s="14">
        <f t="shared" si="19"/>
        <v>0.18999999999999995</v>
      </c>
      <c r="D84" s="7">
        <f>B84*Inputs!$D$6+C84*Inputs!$D$11</f>
        <v>0.13669999999999999</v>
      </c>
      <c r="E84" s="7">
        <f>B84*Inputs!$D$7+C84*Inputs!$D$12</f>
        <v>0.2253</v>
      </c>
      <c r="F84" s="15">
        <f>B84^2*Inputs!$D$7^2+C84^2*Inputs!$D$12^2+2*B84*C84*Inputs!$D$7*Inputs!$D$12*Inputs!$D$15</f>
        <v>4.4296290000000009E-2</v>
      </c>
      <c r="G84" s="7">
        <f t="shared" si="20"/>
        <v>0.21046683824298784</v>
      </c>
      <c r="H84" s="14">
        <f t="shared" si="21"/>
        <v>1.4833161757012159E-2</v>
      </c>
      <c r="I84" s="16">
        <f>IFERROR((D84-Inputs!$D$22)/G84,"")</f>
        <v>0.41194138099752914</v>
      </c>
      <c r="J84" s="14">
        <f t="shared" si="22"/>
        <v>0.21046683824298784</v>
      </c>
      <c r="K84" s="14">
        <f t="shared" si="23"/>
        <v>0.13669999999999999</v>
      </c>
      <c r="L84" s="14">
        <f t="shared" si="24"/>
        <v>0.21046683824298784</v>
      </c>
      <c r="M84" s="14">
        <f t="shared" si="25"/>
        <v>0.13669999999999999</v>
      </c>
      <c r="N84" s="8" t="str">
        <f t="shared" si="26"/>
        <v/>
      </c>
    </row>
    <row r="85" spans="1:14" x14ac:dyDescent="0.25">
      <c r="A85" s="8">
        <v>83</v>
      </c>
      <c r="B85" s="9">
        <f t="shared" si="18"/>
        <v>0.82000000000000006</v>
      </c>
      <c r="C85" s="9">
        <f t="shared" si="19"/>
        <v>0.17999999999999994</v>
      </c>
      <c r="D85" s="10">
        <f>B85*Inputs!$D$6+C85*Inputs!$D$11</f>
        <v>0.13739999999999999</v>
      </c>
      <c r="E85" s="10">
        <f>B85*Inputs!$D$7+C85*Inputs!$D$12</f>
        <v>0.2266</v>
      </c>
      <c r="F85" s="11">
        <f>B85^2*Inputs!$D$7^2+C85^2*Inputs!$D$12^2+2*B85*C85*Inputs!$D$7*Inputs!$D$12*Inputs!$D$15</f>
        <v>4.5148360000000005E-2</v>
      </c>
      <c r="G85" s="10">
        <f t="shared" si="20"/>
        <v>0.21248143448310963</v>
      </c>
      <c r="H85" s="9">
        <f t="shared" si="21"/>
        <v>1.4118565516890363E-2</v>
      </c>
      <c r="I85" s="12">
        <f>IFERROR((D85-Inputs!$D$22)/G85,"")</f>
        <v>0.41133005437680958</v>
      </c>
      <c r="J85" s="9">
        <f t="shared" si="22"/>
        <v>0.21248143448310963</v>
      </c>
      <c r="K85" s="9">
        <f t="shared" si="23"/>
        <v>0.13739999999999999</v>
      </c>
      <c r="L85" s="9">
        <f t="shared" si="24"/>
        <v>0.21248143448310963</v>
      </c>
      <c r="M85" s="9">
        <f t="shared" si="25"/>
        <v>0.13739999999999999</v>
      </c>
      <c r="N85" s="13" t="str">
        <f t="shared" si="26"/>
        <v/>
      </c>
    </row>
    <row r="86" spans="1:14" x14ac:dyDescent="0.25">
      <c r="A86" s="8">
        <v>84</v>
      </c>
      <c r="B86" s="14">
        <f t="shared" si="18"/>
        <v>0.83000000000000007</v>
      </c>
      <c r="C86" s="14">
        <f t="shared" si="19"/>
        <v>0.16999999999999993</v>
      </c>
      <c r="D86" s="7">
        <f>B86*Inputs!$D$6+C86*Inputs!$D$11</f>
        <v>0.1381</v>
      </c>
      <c r="E86" s="7">
        <f>B86*Inputs!$D$7+C86*Inputs!$D$12</f>
        <v>0.22790000000000002</v>
      </c>
      <c r="F86" s="15">
        <f>B86^2*Inputs!$D$7^2+C86^2*Inputs!$D$12^2+2*B86*C86*Inputs!$D$7*Inputs!$D$12*Inputs!$D$15</f>
        <v>4.6012210000000005E-2</v>
      </c>
      <c r="G86" s="7">
        <f t="shared" si="20"/>
        <v>0.21450456871591339</v>
      </c>
      <c r="H86" s="14">
        <f t="shared" si="21"/>
        <v>1.3395431284086629E-2</v>
      </c>
      <c r="I86" s="16">
        <f>IFERROR((D86-Inputs!$D$22)/G86,"")</f>
        <v>0.41071386277407596</v>
      </c>
      <c r="J86" s="14">
        <f t="shared" si="22"/>
        <v>0.21450456871591339</v>
      </c>
      <c r="K86" s="14">
        <f t="shared" si="23"/>
        <v>0.1381</v>
      </c>
      <c r="L86" s="14">
        <f t="shared" si="24"/>
        <v>0.21450456871591339</v>
      </c>
      <c r="M86" s="14">
        <f t="shared" si="25"/>
        <v>0.1381</v>
      </c>
      <c r="N86" s="8" t="str">
        <f t="shared" si="26"/>
        <v/>
      </c>
    </row>
    <row r="87" spans="1:14" x14ac:dyDescent="0.25">
      <c r="A87" s="8">
        <v>85</v>
      </c>
      <c r="B87" s="9">
        <f t="shared" si="18"/>
        <v>0.84</v>
      </c>
      <c r="C87" s="9">
        <f t="shared" si="19"/>
        <v>0.16000000000000003</v>
      </c>
      <c r="D87" s="10">
        <f>B87*Inputs!$D$6+C87*Inputs!$D$11</f>
        <v>0.13880000000000001</v>
      </c>
      <c r="E87" s="10">
        <f>B87*Inputs!$D$7+C87*Inputs!$D$12</f>
        <v>0.22919999999999999</v>
      </c>
      <c r="F87" s="11">
        <f>B87^2*Inputs!$D$7^2+C87^2*Inputs!$D$12^2+2*B87*C87*Inputs!$D$7*Inputs!$D$12*Inputs!$D$15</f>
        <v>4.688784E-2</v>
      </c>
      <c r="G87" s="10">
        <f t="shared" si="20"/>
        <v>0.21653600162559575</v>
      </c>
      <c r="H87" s="9">
        <f t="shared" si="21"/>
        <v>1.2663998374404239E-2</v>
      </c>
      <c r="I87" s="12">
        <f>IFERROR((D87-Inputs!$D$22)/G87,"")</f>
        <v>0.41009346867658869</v>
      </c>
      <c r="J87" s="9">
        <f t="shared" si="22"/>
        <v>0.21653600162559575</v>
      </c>
      <c r="K87" s="9">
        <f t="shared" si="23"/>
        <v>0.13880000000000001</v>
      </c>
      <c r="L87" s="9">
        <f t="shared" si="24"/>
        <v>0.21653600162559575</v>
      </c>
      <c r="M87" s="9">
        <f t="shared" si="25"/>
        <v>0.13880000000000001</v>
      </c>
      <c r="N87" s="13" t="str">
        <f t="shared" si="26"/>
        <v/>
      </c>
    </row>
    <row r="88" spans="1:14" x14ac:dyDescent="0.25">
      <c r="A88" s="8">
        <v>86</v>
      </c>
      <c r="B88" s="14">
        <f t="shared" si="18"/>
        <v>0.85</v>
      </c>
      <c r="C88" s="14">
        <f t="shared" si="19"/>
        <v>0.15000000000000002</v>
      </c>
      <c r="D88" s="7">
        <f>B88*Inputs!$D$6+C88*Inputs!$D$11</f>
        <v>0.13950000000000001</v>
      </c>
      <c r="E88" s="7">
        <f>B88*Inputs!$D$7+C88*Inputs!$D$12</f>
        <v>0.23049999999999998</v>
      </c>
      <c r="F88" s="15">
        <f>B88^2*Inputs!$D$7^2+C88^2*Inputs!$D$12^2+2*B88*C88*Inputs!$D$7*Inputs!$D$12*Inputs!$D$15</f>
        <v>4.7775249999999991E-2</v>
      </c>
      <c r="G88" s="7">
        <f t="shared" si="20"/>
        <v>0.21857550182945937</v>
      </c>
      <c r="H88" s="14">
        <f t="shared" si="21"/>
        <v>1.1924498170540615E-2</v>
      </c>
      <c r="I88" s="16">
        <f>IFERROR((D88-Inputs!$D$22)/G88,"")</f>
        <v>0.40946949338280003</v>
      </c>
      <c r="J88" s="14">
        <f t="shared" si="22"/>
        <v>0.21857550182945937</v>
      </c>
      <c r="K88" s="14">
        <f t="shared" si="23"/>
        <v>0.13950000000000001</v>
      </c>
      <c r="L88" s="14">
        <f t="shared" si="24"/>
        <v>0.21857550182945937</v>
      </c>
      <c r="M88" s="14">
        <f t="shared" si="25"/>
        <v>0.13950000000000001</v>
      </c>
      <c r="N88" s="8" t="str">
        <f t="shared" si="26"/>
        <v/>
      </c>
    </row>
    <row r="89" spans="1:14" x14ac:dyDescent="0.25">
      <c r="A89" s="8">
        <v>87</v>
      </c>
      <c r="B89" s="9">
        <f t="shared" si="18"/>
        <v>0.86</v>
      </c>
      <c r="C89" s="9">
        <f t="shared" si="19"/>
        <v>0.14000000000000001</v>
      </c>
      <c r="D89" s="10">
        <f>B89*Inputs!$D$6+C89*Inputs!$D$11</f>
        <v>0.14019999999999999</v>
      </c>
      <c r="E89" s="10">
        <f>B89*Inputs!$D$7+C89*Inputs!$D$12</f>
        <v>0.23180000000000001</v>
      </c>
      <c r="F89" s="11">
        <f>B89^2*Inputs!$D$7^2+C89^2*Inputs!$D$12^2+2*B89*C89*Inputs!$D$7*Inputs!$D$12*Inputs!$D$15</f>
        <v>4.8674439999999999E-2</v>
      </c>
      <c r="G89" s="10">
        <f t="shared" si="20"/>
        <v>0.22062284559854631</v>
      </c>
      <c r="H89" s="9">
        <f t="shared" si="21"/>
        <v>1.1177154401453698E-2</v>
      </c>
      <c r="I89" s="12">
        <f>IFERROR((D89-Inputs!$D$22)/G89,"")</f>
        <v>0.40884251925628468</v>
      </c>
      <c r="J89" s="9">
        <f t="shared" si="22"/>
        <v>0.22062284559854631</v>
      </c>
      <c r="K89" s="9">
        <f t="shared" si="23"/>
        <v>0.14019999999999999</v>
      </c>
      <c r="L89" s="9">
        <f t="shared" si="24"/>
        <v>0.22062284559854631</v>
      </c>
      <c r="M89" s="9">
        <f t="shared" si="25"/>
        <v>0.14019999999999999</v>
      </c>
      <c r="N89" s="13" t="str">
        <f t="shared" si="26"/>
        <v/>
      </c>
    </row>
    <row r="90" spans="1:14" x14ac:dyDescent="0.25">
      <c r="A90" s="8">
        <v>88</v>
      </c>
      <c r="B90" s="14">
        <f t="shared" si="18"/>
        <v>0.87</v>
      </c>
      <c r="C90" s="14">
        <f t="shared" si="19"/>
        <v>0.13</v>
      </c>
      <c r="D90" s="7">
        <f>B90*Inputs!$D$6+C90*Inputs!$D$11</f>
        <v>0.1409</v>
      </c>
      <c r="E90" s="7">
        <f>B90*Inputs!$D$7+C90*Inputs!$D$12</f>
        <v>0.2331</v>
      </c>
      <c r="F90" s="15">
        <f>B90^2*Inputs!$D$7^2+C90^2*Inputs!$D$12^2+2*B90*C90*Inputs!$D$7*Inputs!$D$12*Inputs!$D$15</f>
        <v>4.9585409999999996E-2</v>
      </c>
      <c r="G90" s="7">
        <f t="shared" si="20"/>
        <v>0.22267781658710414</v>
      </c>
      <c r="H90" s="14">
        <f t="shared" si="21"/>
        <v>1.0422183412895858E-2</v>
      </c>
      <c r="I90" s="16">
        <f>IFERROR((D90-Inputs!$D$22)/G90,"")</f>
        <v>0.4082130918705274</v>
      </c>
      <c r="J90" s="14">
        <f t="shared" si="22"/>
        <v>0.22267781658710414</v>
      </c>
      <c r="K90" s="14">
        <f t="shared" si="23"/>
        <v>0.1409</v>
      </c>
      <c r="L90" s="14">
        <f t="shared" si="24"/>
        <v>0.22267781658710414</v>
      </c>
      <c r="M90" s="14">
        <f t="shared" si="25"/>
        <v>0.1409</v>
      </c>
      <c r="N90" s="8" t="str">
        <f t="shared" si="26"/>
        <v/>
      </c>
    </row>
    <row r="91" spans="1:14" x14ac:dyDescent="0.25">
      <c r="A91" s="8">
        <v>89</v>
      </c>
      <c r="B91" s="9">
        <f t="shared" si="18"/>
        <v>0.88</v>
      </c>
      <c r="C91" s="9">
        <f t="shared" si="19"/>
        <v>0.12</v>
      </c>
      <c r="D91" s="10">
        <f>B91*Inputs!$D$6+C91*Inputs!$D$11</f>
        <v>0.1416</v>
      </c>
      <c r="E91" s="10">
        <f>B91*Inputs!$D$7+C91*Inputs!$D$12</f>
        <v>0.2344</v>
      </c>
      <c r="F91" s="11">
        <f>B91^2*Inputs!$D$7^2+C91^2*Inputs!$D$12^2+2*B91*C91*Inputs!$D$7*Inputs!$D$12*Inputs!$D$15</f>
        <v>5.0508159999999996E-2</v>
      </c>
      <c r="G91" s="10">
        <f t="shared" si="20"/>
        <v>0.22474020557078789</v>
      </c>
      <c r="H91" s="9">
        <f t="shared" si="21"/>
        <v>9.6597944292121096E-3</v>
      </c>
      <c r="I91" s="12">
        <f>IFERROR((D91-Inputs!$D$22)/G91,"")</f>
        <v>0.40758172204816351</v>
      </c>
      <c r="J91" s="9">
        <f t="shared" si="22"/>
        <v>0.22474020557078789</v>
      </c>
      <c r="K91" s="9">
        <f t="shared" si="23"/>
        <v>0.1416</v>
      </c>
      <c r="L91" s="9">
        <f t="shared" si="24"/>
        <v>0.22474020557078789</v>
      </c>
      <c r="M91" s="9">
        <f t="shared" si="25"/>
        <v>0.1416</v>
      </c>
      <c r="N91" s="13" t="str">
        <f t="shared" si="26"/>
        <v/>
      </c>
    </row>
    <row r="92" spans="1:14" x14ac:dyDescent="0.25">
      <c r="A92" s="8">
        <v>90</v>
      </c>
      <c r="B92" s="14">
        <f t="shared" si="18"/>
        <v>0.89</v>
      </c>
      <c r="C92" s="14">
        <f t="shared" si="19"/>
        <v>0.10999999999999999</v>
      </c>
      <c r="D92" s="7">
        <f>B92*Inputs!$D$6+C92*Inputs!$D$11</f>
        <v>0.14230000000000001</v>
      </c>
      <c r="E92" s="7">
        <f>B92*Inputs!$D$7+C92*Inputs!$D$12</f>
        <v>0.23569999999999999</v>
      </c>
      <c r="F92" s="15">
        <f>B92^2*Inputs!$D$7^2+C92^2*Inputs!$D$12^2+2*B92*C92*Inputs!$D$7*Inputs!$D$12*Inputs!$D$15</f>
        <v>5.1442689999999999E-2</v>
      </c>
      <c r="G92" s="7">
        <f t="shared" si="20"/>
        <v>0.22680981019347465</v>
      </c>
      <c r="H92" s="14">
        <f t="shared" si="21"/>
        <v>8.8901898065253393E-3</v>
      </c>
      <c r="I92" s="16">
        <f>IFERROR((D92-Inputs!$D$22)/G92,"")</f>
        <v>0.40694888779839689</v>
      </c>
      <c r="J92" s="14">
        <f t="shared" si="22"/>
        <v>0.22680981019347465</v>
      </c>
      <c r="K92" s="14">
        <f t="shared" si="23"/>
        <v>0.14230000000000001</v>
      </c>
      <c r="L92" s="14">
        <f t="shared" si="24"/>
        <v>0.22680981019347465</v>
      </c>
      <c r="M92" s="14">
        <f t="shared" si="25"/>
        <v>0.14230000000000001</v>
      </c>
      <c r="N92" s="8" t="str">
        <f t="shared" si="26"/>
        <v/>
      </c>
    </row>
    <row r="93" spans="1:14" x14ac:dyDescent="0.25">
      <c r="A93" s="8">
        <v>91</v>
      </c>
      <c r="B93" s="9">
        <f t="shared" si="18"/>
        <v>0.9</v>
      </c>
      <c r="C93" s="9">
        <f t="shared" si="19"/>
        <v>9.9999999999999978E-2</v>
      </c>
      <c r="D93" s="10">
        <f>B93*Inputs!$D$6+C93*Inputs!$D$11</f>
        <v>0.14300000000000002</v>
      </c>
      <c r="E93" s="10">
        <f>B93*Inputs!$D$7+C93*Inputs!$D$12</f>
        <v>0.23699999999999999</v>
      </c>
      <c r="F93" s="11">
        <f>B93^2*Inputs!$D$7^2+C93^2*Inputs!$D$12^2+2*B93*C93*Inputs!$D$7*Inputs!$D$12*Inputs!$D$15</f>
        <v>5.2388999999999998E-2</v>
      </c>
      <c r="G93" s="10">
        <f t="shared" si="20"/>
        <v>0.22888643472254969</v>
      </c>
      <c r="H93" s="9">
        <f t="shared" si="21"/>
        <v>8.113565277450302E-3</v>
      </c>
      <c r="I93" s="12">
        <f>IFERROR((D93-Inputs!$D$22)/G93,"")</f>
        <v>0.40631503615639014</v>
      </c>
      <c r="J93" s="9">
        <f t="shared" si="22"/>
        <v>0.22888643472254969</v>
      </c>
      <c r="K93" s="9">
        <f t="shared" si="23"/>
        <v>0.14300000000000002</v>
      </c>
      <c r="L93" s="9">
        <f t="shared" si="24"/>
        <v>0.22888643472254969</v>
      </c>
      <c r="M93" s="9">
        <f t="shared" si="25"/>
        <v>0.14300000000000002</v>
      </c>
      <c r="N93" s="13" t="str">
        <f t="shared" si="26"/>
        <v/>
      </c>
    </row>
    <row r="94" spans="1:14" x14ac:dyDescent="0.25">
      <c r="A94" s="8">
        <v>92</v>
      </c>
      <c r="B94" s="14">
        <f t="shared" si="18"/>
        <v>0.91</v>
      </c>
      <c r="C94" s="14">
        <f t="shared" si="19"/>
        <v>8.9999999999999969E-2</v>
      </c>
      <c r="D94" s="7">
        <f>B94*Inputs!$D$6+C94*Inputs!$D$11</f>
        <v>0.14369999999999999</v>
      </c>
      <c r="E94" s="7">
        <f>B94*Inputs!$D$7+C94*Inputs!$D$12</f>
        <v>0.23830000000000001</v>
      </c>
      <c r="F94" s="15">
        <f>B94^2*Inputs!$D$7^2+C94^2*Inputs!$D$12^2+2*B94*C94*Inputs!$D$7*Inputs!$D$12*Inputs!$D$15</f>
        <v>5.3347090000000007E-2</v>
      </c>
      <c r="G94" s="7">
        <f t="shared" si="20"/>
        <v>0.23096988981250349</v>
      </c>
      <c r="H94" s="14">
        <f t="shared" si="21"/>
        <v>7.3301101874965191E-3</v>
      </c>
      <c r="I94" s="16">
        <f>IFERROR((D94-Inputs!$D$22)/G94,"")</f>
        <v>0.40568058492846704</v>
      </c>
      <c r="J94" s="14">
        <f t="shared" si="22"/>
        <v>0.23096988981250349</v>
      </c>
      <c r="K94" s="14">
        <f t="shared" si="23"/>
        <v>0.14369999999999999</v>
      </c>
      <c r="L94" s="14">
        <f t="shared" si="24"/>
        <v>0.23096988981250349</v>
      </c>
      <c r="M94" s="14">
        <f t="shared" si="25"/>
        <v>0.14369999999999999</v>
      </c>
      <c r="N94" s="8" t="str">
        <f t="shared" si="26"/>
        <v/>
      </c>
    </row>
    <row r="95" spans="1:14" x14ac:dyDescent="0.25">
      <c r="A95" s="8">
        <v>93</v>
      </c>
      <c r="B95" s="9">
        <f t="shared" si="18"/>
        <v>0.92</v>
      </c>
      <c r="C95" s="9">
        <f t="shared" si="19"/>
        <v>7.999999999999996E-2</v>
      </c>
      <c r="D95" s="10">
        <f>B95*Inputs!$D$6+C95*Inputs!$D$11</f>
        <v>0.1444</v>
      </c>
      <c r="E95" s="10">
        <f>B95*Inputs!$D$7+C95*Inputs!$D$12</f>
        <v>0.23960000000000001</v>
      </c>
      <c r="F95" s="11">
        <f>B95^2*Inputs!$D$7^2+C95^2*Inputs!$D$12^2+2*B95*C95*Inputs!$D$7*Inputs!$D$12*Inputs!$D$15</f>
        <v>5.4316960000000004E-2</v>
      </c>
      <c r="G95" s="10">
        <f t="shared" si="20"/>
        <v>0.23305999227666682</v>
      </c>
      <c r="H95" s="9">
        <f t="shared" si="21"/>
        <v>6.5400077233331855E-3</v>
      </c>
      <c r="I95" s="12">
        <f>IFERROR((D95-Inputs!$D$22)/G95,"")</f>
        <v>0.40504592434696912</v>
      </c>
      <c r="J95" s="9">
        <f t="shared" si="22"/>
        <v>0.23305999227666682</v>
      </c>
      <c r="K95" s="9">
        <f t="shared" si="23"/>
        <v>0.1444</v>
      </c>
      <c r="L95" s="9">
        <f t="shared" si="24"/>
        <v>0.23305999227666682</v>
      </c>
      <c r="M95" s="9">
        <f t="shared" si="25"/>
        <v>0.1444</v>
      </c>
      <c r="N95" s="13" t="str">
        <f t="shared" si="26"/>
        <v/>
      </c>
    </row>
    <row r="96" spans="1:14" x14ac:dyDescent="0.25">
      <c r="A96" s="8">
        <v>94</v>
      </c>
      <c r="B96" s="14">
        <f t="shared" si="18"/>
        <v>0.93</v>
      </c>
      <c r="C96" s="14">
        <f t="shared" si="19"/>
        <v>6.9999999999999951E-2</v>
      </c>
      <c r="D96" s="7">
        <f>B96*Inputs!$D$6+C96*Inputs!$D$11</f>
        <v>0.14510000000000001</v>
      </c>
      <c r="E96" s="7">
        <f>B96*Inputs!$D$7+C96*Inputs!$D$12</f>
        <v>0.2409</v>
      </c>
      <c r="F96" s="15">
        <f>B96^2*Inputs!$D$7^2+C96^2*Inputs!$D$12^2+2*B96*C96*Inputs!$D$7*Inputs!$D$12*Inputs!$D$15</f>
        <v>5.5298610000000005E-2</v>
      </c>
      <c r="G96" s="7">
        <f t="shared" si="20"/>
        <v>0.23515656486689884</v>
      </c>
      <c r="H96" s="14">
        <f t="shared" si="21"/>
        <v>5.7434351331011602E-3</v>
      </c>
      <c r="I96" s="16">
        <f>IFERROR((D96-Inputs!$D$22)/G96,"")</f>
        <v>0.40441141863858926</v>
      </c>
      <c r="J96" s="14">
        <f t="shared" si="22"/>
        <v>0.23515656486689884</v>
      </c>
      <c r="K96" s="14">
        <f t="shared" si="23"/>
        <v>0.14510000000000001</v>
      </c>
      <c r="L96" s="14">
        <f t="shared" si="24"/>
        <v>0.23515656486689884</v>
      </c>
      <c r="M96" s="14">
        <f t="shared" si="25"/>
        <v>0.14510000000000001</v>
      </c>
      <c r="N96" s="8" t="str">
        <f t="shared" si="26"/>
        <v/>
      </c>
    </row>
    <row r="97" spans="1:18" x14ac:dyDescent="0.25">
      <c r="A97" s="8">
        <v>95</v>
      </c>
      <c r="B97" s="9">
        <f t="shared" si="18"/>
        <v>0.94000000000000006</v>
      </c>
      <c r="C97" s="9">
        <f t="shared" si="19"/>
        <v>5.9999999999999942E-2</v>
      </c>
      <c r="D97" s="10">
        <f>B97*Inputs!$D$6+C97*Inputs!$D$11</f>
        <v>0.14580000000000001</v>
      </c>
      <c r="E97" s="10">
        <f>B97*Inputs!$D$7+C97*Inputs!$D$12</f>
        <v>0.2422</v>
      </c>
      <c r="F97" s="11">
        <f>B97^2*Inputs!$D$7^2+C97^2*Inputs!$D$12^2+2*B97*C97*Inputs!$D$7*Inputs!$D$12*Inputs!$D$15</f>
        <v>5.6292040000000008E-2</v>
      </c>
      <c r="G97" s="10">
        <f t="shared" si="20"/>
        <v>0.23725943606103428</v>
      </c>
      <c r="H97" s="9">
        <f t="shared" si="21"/>
        <v>4.9405639389657197E-3</v>
      </c>
      <c r="I97" s="12">
        <f>IFERROR((D97-Inputs!$D$22)/G97,"")</f>
        <v>0.40377740750996199</v>
      </c>
      <c r="J97" s="9">
        <f t="shared" si="22"/>
        <v>0.23725943606103428</v>
      </c>
      <c r="K97" s="9">
        <f t="shared" si="23"/>
        <v>0.14580000000000001</v>
      </c>
      <c r="L97" s="9">
        <f t="shared" si="24"/>
        <v>0.23725943606103428</v>
      </c>
      <c r="M97" s="9">
        <f t="shared" si="25"/>
        <v>0.14580000000000001</v>
      </c>
      <c r="N97" s="13" t="str">
        <f t="shared" si="26"/>
        <v/>
      </c>
    </row>
    <row r="98" spans="1:18" x14ac:dyDescent="0.25">
      <c r="A98" s="8">
        <v>96</v>
      </c>
      <c r="B98" s="14">
        <f t="shared" si="18"/>
        <v>0.95000000000000007</v>
      </c>
      <c r="C98" s="14">
        <f t="shared" si="19"/>
        <v>4.9999999999999933E-2</v>
      </c>
      <c r="D98" s="7">
        <f>B98*Inputs!$D$6+C98*Inputs!$D$11</f>
        <v>0.14650000000000002</v>
      </c>
      <c r="E98" s="7">
        <f>B98*Inputs!$D$7+C98*Inputs!$D$12</f>
        <v>0.24349999999999999</v>
      </c>
      <c r="F98" s="15">
        <f>B98^2*Inputs!$D$7^2+C98^2*Inputs!$D$12^2+2*B98*C98*Inputs!$D$7*Inputs!$D$12*Inputs!$D$15</f>
        <v>5.7297250000000008E-2</v>
      </c>
      <c r="G98" s="7">
        <f t="shared" si="20"/>
        <v>0.23936843985788939</v>
      </c>
      <c r="H98" s="14">
        <f t="shared" si="21"/>
        <v>4.1315601421106074E-3</v>
      </c>
      <c r="I98" s="16">
        <f>IFERROR((D98-Inputs!$D$22)/G98,"")</f>
        <v>0.40314420755422514</v>
      </c>
      <c r="J98" s="14">
        <f t="shared" si="22"/>
        <v>0.23936843985788939</v>
      </c>
      <c r="K98" s="14">
        <f t="shared" si="23"/>
        <v>0.14650000000000002</v>
      </c>
      <c r="L98" s="14">
        <f t="shared" si="24"/>
        <v>0.23936843985788939</v>
      </c>
      <c r="M98" s="14">
        <f t="shared" si="25"/>
        <v>0.14650000000000002</v>
      </c>
      <c r="N98" s="8" t="str">
        <f t="shared" si="26"/>
        <v/>
      </c>
    </row>
    <row r="99" spans="1:18" x14ac:dyDescent="0.25">
      <c r="A99" s="8">
        <v>97</v>
      </c>
      <c r="B99" s="9">
        <f t="shared" si="18"/>
        <v>0.96</v>
      </c>
      <c r="C99" s="9">
        <f t="shared" ref="C99:C103" si="27">1-B99</f>
        <v>4.0000000000000036E-2</v>
      </c>
      <c r="D99" s="10">
        <f>B99*Inputs!$D$6+C99*Inputs!$D$11</f>
        <v>0.1472</v>
      </c>
      <c r="E99" s="10">
        <f>B99*Inputs!$D$7+C99*Inputs!$D$12</f>
        <v>0.24479999999999999</v>
      </c>
      <c r="F99" s="11">
        <f>B99^2*Inputs!$D$7^2+C99^2*Inputs!$D$12^2+2*B99*C99*Inputs!$D$7*Inputs!$D$12*Inputs!$D$15</f>
        <v>5.8314240000000003E-2</v>
      </c>
      <c r="G99" s="10">
        <f t="shared" ref="G99:G103" si="28">SQRT(F99)</f>
        <v>0.24148341557962114</v>
      </c>
      <c r="H99" s="9">
        <f t="shared" ref="H99:H103" si="29">E99-G99</f>
        <v>3.3165844203788541E-3</v>
      </c>
      <c r="I99" s="12">
        <f>IFERROR((D99-Inputs!$D$22)/G99,"")</f>
        <v>0.40251211358219141</v>
      </c>
      <c r="J99" s="9">
        <f t="shared" si="22"/>
        <v>0.24148341557962114</v>
      </c>
      <c r="K99" s="9">
        <f t="shared" si="23"/>
        <v>0.1472</v>
      </c>
      <c r="L99" s="9">
        <f t="shared" si="24"/>
        <v>0.24148341557962114</v>
      </c>
      <c r="M99" s="9">
        <f t="shared" si="25"/>
        <v>0.1472</v>
      </c>
      <c r="N99" s="13" t="str">
        <f t="shared" si="26"/>
        <v/>
      </c>
    </row>
    <row r="100" spans="1:18" x14ac:dyDescent="0.25">
      <c r="A100" s="8">
        <v>98</v>
      </c>
      <c r="B100" s="14">
        <f t="shared" si="18"/>
        <v>0.97</v>
      </c>
      <c r="C100" s="14">
        <f t="shared" si="27"/>
        <v>3.0000000000000027E-2</v>
      </c>
      <c r="D100" s="7">
        <f>B100*Inputs!$D$6+C100*Inputs!$D$11</f>
        <v>0.1479</v>
      </c>
      <c r="E100" s="7">
        <f>B100*Inputs!$D$7+C100*Inputs!$D$12</f>
        <v>0.24609999999999999</v>
      </c>
      <c r="F100" s="15">
        <f>B100^2*Inputs!$D$7^2+C100^2*Inputs!$D$12^2+2*B100*C100*Inputs!$D$7*Inputs!$D$12*Inputs!$D$15</f>
        <v>5.9343009999999995E-2</v>
      </c>
      <c r="G100" s="7">
        <f t="shared" si="28"/>
        <v>0.24360420768123031</v>
      </c>
      <c r="H100" s="14">
        <f t="shared" si="29"/>
        <v>2.495792318769674E-3</v>
      </c>
      <c r="I100" s="16">
        <f>IFERROR((D100-Inputs!$D$22)/G100,"")</f>
        <v>0.40188139988167859</v>
      </c>
      <c r="J100" s="14">
        <f t="shared" si="22"/>
        <v>0.24360420768123031</v>
      </c>
      <c r="K100" s="14">
        <f t="shared" si="23"/>
        <v>0.1479</v>
      </c>
      <c r="L100" s="14">
        <f t="shared" si="24"/>
        <v>0.24360420768123031</v>
      </c>
      <c r="M100" s="14">
        <f t="shared" si="25"/>
        <v>0.1479</v>
      </c>
      <c r="N100" s="8" t="str">
        <f t="shared" si="26"/>
        <v/>
      </c>
    </row>
    <row r="101" spans="1:18" x14ac:dyDescent="0.25">
      <c r="A101" s="8">
        <v>99</v>
      </c>
      <c r="B101" s="9">
        <f t="shared" si="18"/>
        <v>0.98</v>
      </c>
      <c r="C101" s="9">
        <f t="shared" si="27"/>
        <v>2.0000000000000018E-2</v>
      </c>
      <c r="D101" s="10">
        <f>B101*Inputs!$D$6+C101*Inputs!$D$11</f>
        <v>0.14859999999999998</v>
      </c>
      <c r="E101" s="10">
        <f>B101*Inputs!$D$7+C101*Inputs!$D$12</f>
        <v>0.24740000000000001</v>
      </c>
      <c r="F101" s="11">
        <f>B101^2*Inputs!$D$7^2+C101^2*Inputs!$D$12^2+2*B101*C101*Inputs!$D$7*Inputs!$D$12*Inputs!$D$15</f>
        <v>6.0383559999999996E-2</v>
      </c>
      <c r="G101" s="10">
        <f t="shared" si="28"/>
        <v>0.24573066556699835</v>
      </c>
      <c r="H101" s="9">
        <f t="shared" si="29"/>
        <v>1.6693344330016568E-3</v>
      </c>
      <c r="I101" s="12">
        <f>IFERROR((D101-Inputs!$D$22)/G101,"")</f>
        <v>0.40125232140844358</v>
      </c>
      <c r="J101" s="9">
        <f t="shared" si="22"/>
        <v>0.24573066556699835</v>
      </c>
      <c r="K101" s="9">
        <f t="shared" si="23"/>
        <v>0.14859999999999998</v>
      </c>
      <c r="L101" s="9">
        <f t="shared" si="24"/>
        <v>0.24573066556699835</v>
      </c>
      <c r="M101" s="9">
        <f t="shared" si="25"/>
        <v>0.14859999999999998</v>
      </c>
      <c r="N101" s="13" t="str">
        <f t="shared" si="26"/>
        <v/>
      </c>
    </row>
    <row r="102" spans="1:18" x14ac:dyDescent="0.25">
      <c r="A102" s="8">
        <v>100</v>
      </c>
      <c r="B102" s="14">
        <f t="shared" si="18"/>
        <v>0.99</v>
      </c>
      <c r="C102" s="14">
        <f t="shared" si="27"/>
        <v>1.0000000000000009E-2</v>
      </c>
      <c r="D102" s="7">
        <f>B102*Inputs!$D$6+C102*Inputs!$D$11</f>
        <v>0.14929999999999999</v>
      </c>
      <c r="E102" s="7">
        <f>B102*Inputs!$D$7+C102*Inputs!$D$12</f>
        <v>0.2487</v>
      </c>
      <c r="F102" s="15">
        <f>B102^2*Inputs!$D$7^2+C102^2*Inputs!$D$12^2+2*B102*C102*Inputs!$D$7*Inputs!$D$12*Inputs!$D$15</f>
        <v>6.143589E-2</v>
      </c>
      <c r="G102" s="7">
        <f t="shared" si="28"/>
        <v>0.24786264341364553</v>
      </c>
      <c r="H102" s="14">
        <f t="shared" si="29"/>
        <v>8.373565863544763E-4</v>
      </c>
      <c r="I102" s="16">
        <f>IFERROR((D102-Inputs!$D$22)/G102,"")</f>
        <v>0.40062511491206521</v>
      </c>
      <c r="J102" s="14">
        <f t="shared" si="22"/>
        <v>0.24786264341364553</v>
      </c>
      <c r="K102" s="14">
        <f t="shared" si="23"/>
        <v>0.14929999999999999</v>
      </c>
      <c r="L102" s="14">
        <f t="shared" si="24"/>
        <v>0.24786264341364553</v>
      </c>
      <c r="M102" s="14">
        <f t="shared" si="25"/>
        <v>0.14929999999999999</v>
      </c>
      <c r="N102" s="8" t="str">
        <f t="shared" si="26"/>
        <v/>
      </c>
    </row>
    <row r="103" spans="1:18" x14ac:dyDescent="0.25">
      <c r="A103" s="8">
        <v>101</v>
      </c>
      <c r="B103" s="9">
        <f t="shared" si="18"/>
        <v>1</v>
      </c>
      <c r="C103" s="9">
        <f t="shared" si="27"/>
        <v>0</v>
      </c>
      <c r="D103" s="10">
        <f>B103*Inputs!$D$6+C103*Inputs!$D$11</f>
        <v>0.15</v>
      </c>
      <c r="E103" s="10">
        <f>B103*Inputs!$D$7+C103*Inputs!$D$12</f>
        <v>0.25</v>
      </c>
      <c r="F103" s="11">
        <f>B103^2*Inputs!$D$7^2+C103^2*Inputs!$D$12^2+2*B103*C103*Inputs!$D$7*Inputs!$D$12*Inputs!$D$15</f>
        <v>6.25E-2</v>
      </c>
      <c r="G103" s="10">
        <f t="shared" si="28"/>
        <v>0.25</v>
      </c>
      <c r="H103" s="9">
        <f t="shared" si="29"/>
        <v>0</v>
      </c>
      <c r="I103" s="12">
        <f>IFERROR((D103-Inputs!$D$22)/G103,"")</f>
        <v>0.39999999999999997</v>
      </c>
      <c r="J103" s="9">
        <f t="shared" si="22"/>
        <v>0.25</v>
      </c>
      <c r="K103" s="9">
        <f t="shared" si="23"/>
        <v>0.15</v>
      </c>
      <c r="L103" s="9">
        <f t="shared" si="24"/>
        <v>0.25</v>
      </c>
      <c r="M103" s="9">
        <f t="shared" si="25"/>
        <v>0.15</v>
      </c>
      <c r="N103" s="13" t="str">
        <f t="shared" si="26"/>
        <v/>
      </c>
    </row>
    <row r="105" spans="1:18" x14ac:dyDescent="0.25">
      <c r="P105" s="2" t="s">
        <v>75</v>
      </c>
      <c r="Q105" s="2" t="s">
        <v>76</v>
      </c>
      <c r="R105" s="2" t="s">
        <v>77</v>
      </c>
    </row>
    <row r="106" spans="1:18" x14ac:dyDescent="0.25">
      <c r="P106" s="17" t="s">
        <v>78</v>
      </c>
      <c r="Q106" s="14">
        <f>G103</f>
        <v>0.25</v>
      </c>
      <c r="R106" s="14">
        <f>D103</f>
        <v>0.15</v>
      </c>
    </row>
    <row r="107" spans="1:18" x14ac:dyDescent="0.25">
      <c r="P107" s="17" t="s">
        <v>79</v>
      </c>
      <c r="Q107" s="14">
        <f>G3</f>
        <v>0.12</v>
      </c>
      <c r="R107" s="14">
        <f>D3</f>
        <v>0.08</v>
      </c>
    </row>
    <row r="108" spans="1:18" x14ac:dyDescent="0.25">
      <c r="P108" s="17" t="s">
        <v>80</v>
      </c>
      <c r="Q108" s="14">
        <f>MIN($G$3:$G$103)</f>
        <v>0.11791984565797227</v>
      </c>
      <c r="R108" s="14">
        <f>INDEX($D$3:$D$103,MATCH(MIN($G$3:$G$103),$G$3:$G$103,0))</f>
        <v>8.6300000000000002E-2</v>
      </c>
    </row>
  </sheetData>
  <sheetProtection algorithmName="SHA-512" hashValue="v3JCx7We0/ZrU47nJYDoeicri5+W6SvUynQgtKD2mLxVNmnOr9E1KFF6AR0jXJxJdys1YkdL01kSzOp+Clsjog==" saltValue="uNXeMbbQzGPNDRjm2ccl1A==" spinCount="100000" sheet="1" objects="1" scenarios="1"/>
  <mergeCells count="1">
    <mergeCell ref="A1:N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L32"/>
  <sheetViews>
    <sheetView showGridLines="0" zoomScale="85" zoomScaleNormal="85" workbookViewId="0">
      <selection activeCell="S4" sqref="S4"/>
    </sheetView>
  </sheetViews>
  <sheetFormatPr defaultColWidth="8.7109375" defaultRowHeight="15" x14ac:dyDescent="0.25"/>
  <cols>
    <col min="1" max="1" width="2" customWidth="1"/>
  </cols>
  <sheetData>
    <row r="1" spans="1:12" ht="27.75" customHeight="1" x14ac:dyDescent="0.25">
      <c r="A1" s="44" t="s">
        <v>81</v>
      </c>
      <c r="B1" s="44"/>
      <c r="C1" s="44"/>
      <c r="D1" s="44"/>
      <c r="E1" s="44"/>
      <c r="F1" s="44"/>
      <c r="G1" s="44"/>
      <c r="H1" s="44"/>
      <c r="I1" s="44"/>
      <c r="J1" s="44"/>
      <c r="K1" s="44"/>
      <c r="L1" s="44"/>
    </row>
    <row r="2" spans="1:12" ht="36" customHeight="1" x14ac:dyDescent="0.25">
      <c r="A2" s="47" t="s">
        <v>82</v>
      </c>
      <c r="B2" s="47"/>
      <c r="C2" s="47"/>
      <c r="D2" s="47"/>
      <c r="E2" s="47"/>
      <c r="F2" s="47"/>
      <c r="G2" s="47"/>
      <c r="H2" s="47"/>
      <c r="I2" s="47"/>
      <c r="J2" s="47"/>
      <c r="K2" s="47"/>
      <c r="L2" s="47"/>
    </row>
    <row r="32" spans="1:12" ht="138" customHeight="1" x14ac:dyDescent="0.25">
      <c r="A32" s="48" t="s">
        <v>83</v>
      </c>
      <c r="B32" s="48"/>
      <c r="C32" s="48"/>
      <c r="D32" s="48"/>
      <c r="E32" s="48"/>
      <c r="F32" s="48"/>
      <c r="G32" s="48"/>
      <c r="H32" s="48"/>
      <c r="I32" s="48"/>
      <c r="J32" s="48"/>
      <c r="K32" s="48"/>
      <c r="L32" s="48"/>
    </row>
  </sheetData>
  <sheetProtection algorithmName="SHA-512" hashValue="el3ovpa4wzXqg6tQpLkJApfYKfzTj9yHCcMPma7nrx63CT4/AB0lUCh9xl5v+PtHfJdqnVRSrox0CJ9WG9fUvQ==" saltValue="Vpq9R1rbC7BTkczNPC6FHg==" spinCount="100000" sheet="1" objects="1" scenarios="1"/>
  <mergeCells count="3">
    <mergeCell ref="A1:L1"/>
    <mergeCell ref="A2:L2"/>
    <mergeCell ref="A32:L32"/>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I118"/>
  <sheetViews>
    <sheetView topLeftCell="B1" zoomScaleNormal="100" workbookViewId="0">
      <pane ySplit="2" topLeftCell="A3" activePane="bottomLeft" state="frozen"/>
      <selection pane="bottomLeft" activeCell="AG8" sqref="AG8"/>
    </sheetView>
  </sheetViews>
  <sheetFormatPr defaultColWidth="8.7109375" defaultRowHeight="15" x14ac:dyDescent="0.25"/>
  <cols>
    <col min="1" max="1" width="5" customWidth="1"/>
    <col min="2" max="3" width="10" customWidth="1"/>
    <col min="4" max="4" width="14" customWidth="1"/>
    <col min="5" max="9" width="15" customWidth="1"/>
  </cols>
  <sheetData>
    <row r="1" spans="1:9" ht="27.75" customHeight="1" x14ac:dyDescent="0.25">
      <c r="A1" s="44" t="s">
        <v>84</v>
      </c>
      <c r="B1" s="44"/>
      <c r="C1" s="44"/>
      <c r="D1" s="44"/>
      <c r="E1" s="44"/>
      <c r="F1" s="44"/>
      <c r="G1" s="44"/>
      <c r="H1" s="44"/>
      <c r="I1" s="44"/>
    </row>
    <row r="2" spans="1:9" ht="36" customHeight="1" x14ac:dyDescent="0.25">
      <c r="A2" s="2" t="s">
        <v>61</v>
      </c>
      <c r="B2" s="2" t="s">
        <v>85</v>
      </c>
      <c r="C2" s="2" t="s">
        <v>86</v>
      </c>
      <c r="D2" s="2" t="s">
        <v>87</v>
      </c>
      <c r="E2" s="2" t="s">
        <v>88</v>
      </c>
      <c r="F2" s="2" t="s">
        <v>89</v>
      </c>
      <c r="G2" s="2" t="s">
        <v>90</v>
      </c>
      <c r="H2" s="2" t="s">
        <v>91</v>
      </c>
      <c r="I2" s="2" t="s">
        <v>92</v>
      </c>
    </row>
    <row r="3" spans="1:9" x14ac:dyDescent="0.25">
      <c r="A3" s="8">
        <v>1</v>
      </c>
      <c r="B3" s="9">
        <f t="shared" ref="B3:B34" si="0">(ROW()-3)*0.01</f>
        <v>0</v>
      </c>
      <c r="C3" s="9">
        <f t="shared" ref="C3:C34" si="1">1-B3</f>
        <v>1</v>
      </c>
      <c r="D3" s="10">
        <f>B3*Inputs!$D$6+C3*Inputs!$D$11</f>
        <v>0.08</v>
      </c>
      <c r="E3" s="9">
        <f>SQRT(B3^2*Inputs!$D$7^2+C3^2*Inputs!$D$12^2+2*B3*C3*Inputs!$D$7*Inputs!$D$12*1)</f>
        <v>0.12</v>
      </c>
      <c r="F3" s="9">
        <f>SQRT(B3^2*Inputs!$D$7^2+C3^2*Inputs!$D$12^2+2*B3*C3*Inputs!$D$7*Inputs!$D$12*0.5)</f>
        <v>0.12</v>
      </c>
      <c r="G3" s="9">
        <f>SQRT(B3^2*Inputs!$D$7^2+C3^2*Inputs!$D$12^2+2*B3*C3*Inputs!$D$7*Inputs!$D$12*0)</f>
        <v>0.12</v>
      </c>
      <c r="H3" s="9">
        <f>SQRT(B3^2*Inputs!$D$7^2+C3^2*Inputs!$D$12^2+2*B3*C3*Inputs!$D$7*Inputs!$D$12*-0.5)</f>
        <v>0.12</v>
      </c>
      <c r="I3" s="9">
        <f>SQRT(B3^2*Inputs!$D$7^2+C3^2*Inputs!$D$12^2+2*B3*C3*Inputs!$D$7*Inputs!$D$12*-1)</f>
        <v>0.12</v>
      </c>
    </row>
    <row r="4" spans="1:9" x14ac:dyDescent="0.25">
      <c r="A4" s="8">
        <v>2</v>
      </c>
      <c r="B4" s="14">
        <f t="shared" si="0"/>
        <v>0.01</v>
      </c>
      <c r="C4" s="14">
        <f t="shared" si="1"/>
        <v>0.99</v>
      </c>
      <c r="D4" s="7">
        <f>B4*Inputs!$D$6+C4*Inputs!$D$11</f>
        <v>8.0700000000000008E-2</v>
      </c>
      <c r="E4" s="14">
        <f>SQRT(B4^2*Inputs!$D$7^2+C4^2*Inputs!$D$12^2+2*B4*C4*Inputs!$D$7*Inputs!$D$12*1)</f>
        <v>0.12130000000000001</v>
      </c>
      <c r="F4" s="14">
        <f>SQRT(B4^2*Inputs!$D$7^2+C4^2*Inputs!$D$12^2+2*B4*C4*Inputs!$D$7*Inputs!$D$12*0.5)</f>
        <v>0.12006952152815467</v>
      </c>
      <c r="G4" s="14">
        <f>SQRT(B4^2*Inputs!$D$7^2+C4^2*Inputs!$D$12^2+2*B4*C4*Inputs!$D$7*Inputs!$D$12*0)</f>
        <v>0.11882630180225251</v>
      </c>
      <c r="H4" s="14">
        <f>SQRT(B4^2*Inputs!$D$7^2+C4^2*Inputs!$D$12^2+2*B4*C4*Inputs!$D$7*Inputs!$D$12*-0.5)</f>
        <v>0.11756993663347785</v>
      </c>
      <c r="I4" s="14">
        <f>SQRT(B4^2*Inputs!$D$7^2+C4^2*Inputs!$D$12^2+2*B4*C4*Inputs!$D$7*Inputs!$D$12*-1)</f>
        <v>0.11629999999999999</v>
      </c>
    </row>
    <row r="5" spans="1:9" x14ac:dyDescent="0.25">
      <c r="A5" s="8">
        <v>3</v>
      </c>
      <c r="B5" s="9">
        <f t="shared" si="0"/>
        <v>0.02</v>
      </c>
      <c r="C5" s="9">
        <f t="shared" si="1"/>
        <v>0.98</v>
      </c>
      <c r="D5" s="10">
        <f>B5*Inputs!$D$6+C5*Inputs!$D$11</f>
        <v>8.14E-2</v>
      </c>
      <c r="E5" s="9">
        <f>SQRT(B5^2*Inputs!$D$7^2+C5^2*Inputs!$D$12^2+2*B5*C5*Inputs!$D$7*Inputs!$D$12*1)</f>
        <v>0.1226</v>
      </c>
      <c r="F5" s="9">
        <f>SQRT(B5^2*Inputs!$D$7^2+C5^2*Inputs!$D$12^2+2*B5*C5*Inputs!$D$7*Inputs!$D$12*0.5)</f>
        <v>0.12017803459867364</v>
      </c>
      <c r="G5" s="9">
        <f>SQRT(B5^2*Inputs!$D$7^2+C5^2*Inputs!$D$12^2+2*B5*C5*Inputs!$D$7*Inputs!$D$12*0)</f>
        <v>0.11770624452423924</v>
      </c>
      <c r="H5" s="9">
        <f>SQRT(B5^2*Inputs!$D$7^2+C5^2*Inputs!$D$12^2+2*B5*C5*Inputs!$D$7*Inputs!$D$12*-0.5)</f>
        <v>0.11518142211311683</v>
      </c>
      <c r="I5" s="9">
        <f>SQRT(B5^2*Inputs!$D$7^2+C5^2*Inputs!$D$12^2+2*B5*C5*Inputs!$D$7*Inputs!$D$12*-1)</f>
        <v>0.11259999999999999</v>
      </c>
    </row>
    <row r="6" spans="1:9" x14ac:dyDescent="0.25">
      <c r="A6" s="8">
        <v>4</v>
      </c>
      <c r="B6" s="14">
        <f t="shared" si="0"/>
        <v>0.03</v>
      </c>
      <c r="C6" s="14">
        <f t="shared" si="1"/>
        <v>0.97</v>
      </c>
      <c r="D6" s="7">
        <f>B6*Inputs!$D$6+C6*Inputs!$D$11</f>
        <v>8.2100000000000006E-2</v>
      </c>
      <c r="E6" s="14">
        <f>SQRT(B6^2*Inputs!$D$7^2+C6^2*Inputs!$D$12^2+2*B6*C6*Inputs!$D$7*Inputs!$D$12*1)</f>
        <v>0.1239</v>
      </c>
      <c r="F6" s="14">
        <f>SQRT(B6^2*Inputs!$D$7^2+C6^2*Inputs!$D$12^2+2*B6*C6*Inputs!$D$7*Inputs!$D$12*0.5)</f>
        <v>0.12032543372039013</v>
      </c>
      <c r="G6" s="14">
        <f>SQRT(B6^2*Inputs!$D$7^2+C6^2*Inputs!$D$12^2+2*B6*C6*Inputs!$D$7*Inputs!$D$12*0)</f>
        <v>0.11664137344870387</v>
      </c>
      <c r="H6" s="14">
        <f>SQRT(B6^2*Inputs!$D$7^2+C6^2*Inputs!$D$12^2+2*B6*C6*Inputs!$D$7*Inputs!$D$12*-0.5)</f>
        <v>0.11283709496437773</v>
      </c>
      <c r="I6" s="14">
        <f>SQRT(B6^2*Inputs!$D$7^2+C6^2*Inputs!$D$12^2+2*B6*C6*Inputs!$D$7*Inputs!$D$12*-1)</f>
        <v>0.1089</v>
      </c>
    </row>
    <row r="7" spans="1:9" x14ac:dyDescent="0.25">
      <c r="A7" s="8">
        <v>5</v>
      </c>
      <c r="B7" s="9">
        <f t="shared" si="0"/>
        <v>0.04</v>
      </c>
      <c r="C7" s="9">
        <f t="shared" si="1"/>
        <v>0.96</v>
      </c>
      <c r="D7" s="10">
        <f>B7*Inputs!$D$6+C7*Inputs!$D$11</f>
        <v>8.2799999999999999E-2</v>
      </c>
      <c r="E7" s="9">
        <f>SQRT(B7^2*Inputs!$D$7^2+C7^2*Inputs!$D$12^2+2*B7*C7*Inputs!$D$7*Inputs!$D$12*1)</f>
        <v>0.12519999999999998</v>
      </c>
      <c r="F7" s="9">
        <f>SQRT(B7^2*Inputs!$D$7^2+C7^2*Inputs!$D$12^2+2*B7*C7*Inputs!$D$7*Inputs!$D$12*0.5)</f>
        <v>0.12051157620743327</v>
      </c>
      <c r="G7" s="9">
        <f>SQRT(B7^2*Inputs!$D$7^2+C7^2*Inputs!$D$12^2+2*B7*C7*Inputs!$D$7*Inputs!$D$12*0)</f>
        <v>0.11563321322180752</v>
      </c>
      <c r="H7" s="9">
        <f>SQRT(B7^2*Inputs!$D$7^2+C7^2*Inputs!$D$12^2+2*B7*C7*Inputs!$D$7*Inputs!$D$12*-0.5)</f>
        <v>0.11053976660007926</v>
      </c>
      <c r="I7" s="9">
        <f>SQRT(B7^2*Inputs!$D$7^2+C7^2*Inputs!$D$12^2+2*B7*C7*Inputs!$D$7*Inputs!$D$12*-1)</f>
        <v>0.1052</v>
      </c>
    </row>
    <row r="8" spans="1:9" x14ac:dyDescent="0.25">
      <c r="A8" s="8">
        <v>6</v>
      </c>
      <c r="B8" s="14">
        <f t="shared" si="0"/>
        <v>0.05</v>
      </c>
      <c r="C8" s="14">
        <f t="shared" si="1"/>
        <v>0.95</v>
      </c>
      <c r="D8" s="7">
        <f>B8*Inputs!$D$6+C8*Inputs!$D$11</f>
        <v>8.3499999999999991E-2</v>
      </c>
      <c r="E8" s="14">
        <f>SQRT(B8^2*Inputs!$D$7^2+C8^2*Inputs!$D$12^2+2*B8*C8*Inputs!$D$7*Inputs!$D$12*1)</f>
        <v>0.1265</v>
      </c>
      <c r="F8" s="14">
        <f>SQRT(B8^2*Inputs!$D$7^2+C8^2*Inputs!$D$12^2+2*B8*C8*Inputs!$D$7*Inputs!$D$12*0.5)</f>
        <v>0.12073628286476273</v>
      </c>
      <c r="G8" s="14">
        <f>SQRT(B8^2*Inputs!$D$7^2+C8^2*Inputs!$D$12^2+2*B8*C8*Inputs!$D$7*Inputs!$D$12*0)</f>
        <v>0.11468325945838825</v>
      </c>
      <c r="H8" s="14">
        <f>SQRT(B8^2*Inputs!$D$7^2+C8^2*Inputs!$D$12^2+2*B8*C8*Inputs!$D$7*Inputs!$D$12*-0.5)</f>
        <v>0.10829242817482669</v>
      </c>
      <c r="I8" s="14">
        <f>SQRT(B8^2*Inputs!$D$7^2+C8^2*Inputs!$D$12^2+2*B8*C8*Inputs!$D$7*Inputs!$D$12*-1)</f>
        <v>0.10149999999999999</v>
      </c>
    </row>
    <row r="9" spans="1:9" x14ac:dyDescent="0.25">
      <c r="A9" s="8">
        <v>7</v>
      </c>
      <c r="B9" s="9">
        <f t="shared" si="0"/>
        <v>0.06</v>
      </c>
      <c r="C9" s="9">
        <f t="shared" si="1"/>
        <v>0.94</v>
      </c>
      <c r="D9" s="10">
        <f>B9*Inputs!$D$6+C9*Inputs!$D$11</f>
        <v>8.4199999999999997E-2</v>
      </c>
      <c r="E9" s="9">
        <f>SQRT(B9^2*Inputs!$D$7^2+C9^2*Inputs!$D$12^2+2*B9*C9*Inputs!$D$7*Inputs!$D$12*1)</f>
        <v>0.1278</v>
      </c>
      <c r="F9" s="9">
        <f>SQRT(B9^2*Inputs!$D$7^2+C9^2*Inputs!$D$12^2+2*B9*C9*Inputs!$D$7*Inputs!$D$12*0.5)</f>
        <v>0.12099933884116887</v>
      </c>
      <c r="G9" s="9">
        <f>SQRT(B9^2*Inputs!$D$7^2+C9^2*Inputs!$D$12^2+2*B9*C9*Inputs!$D$7*Inputs!$D$12*0)</f>
        <v>0.11379296990587774</v>
      </c>
      <c r="H9" s="9">
        <f>SQRT(B9^2*Inputs!$D$7^2+C9^2*Inputs!$D$12^2+2*B9*C9*Inputs!$D$7*Inputs!$D$12*-0.5)</f>
        <v>0.10609825634759508</v>
      </c>
      <c r="I9" s="9">
        <f>SQRT(B9^2*Inputs!$D$7^2+C9^2*Inputs!$D$12^2+2*B9*C9*Inputs!$D$7*Inputs!$D$12*-1)</f>
        <v>9.7799999999999984E-2</v>
      </c>
    </row>
    <row r="10" spans="1:9" x14ac:dyDescent="0.25">
      <c r="A10" s="8">
        <v>8</v>
      </c>
      <c r="B10" s="14">
        <f t="shared" si="0"/>
        <v>7.0000000000000007E-2</v>
      </c>
      <c r="C10" s="14">
        <f t="shared" si="1"/>
        <v>0.92999999999999994</v>
      </c>
      <c r="D10" s="7">
        <f>B10*Inputs!$D$6+C10*Inputs!$D$11</f>
        <v>8.4899999999999989E-2</v>
      </c>
      <c r="E10" s="14">
        <f>SQRT(B10^2*Inputs!$D$7^2+C10^2*Inputs!$D$12^2+2*B10*C10*Inputs!$D$7*Inputs!$D$12*1)</f>
        <v>0.12909999999999999</v>
      </c>
      <c r="F10" s="14">
        <f>SQRT(B10^2*Inputs!$D$7^2+C10^2*Inputs!$D$12^2+2*B10*C10*Inputs!$D$7*Inputs!$D$12*0.5)</f>
        <v>0.12130049464037646</v>
      </c>
      <c r="G10" s="14">
        <f>SQRT(B10^2*Inputs!$D$7^2+C10^2*Inputs!$D$12^2+2*B10*C10*Inputs!$D$7*Inputs!$D$12*0)</f>
        <v>0.11296375524919486</v>
      </c>
      <c r="H10" s="14">
        <f>SQRT(B10^2*Inputs!$D$7^2+C10^2*Inputs!$D$12^2+2*B10*C10*Inputs!$D$7*Inputs!$D$12*-0.5)</f>
        <v>0.10396061754337552</v>
      </c>
      <c r="I10" s="14">
        <f>SQRT(B10^2*Inputs!$D$7^2+C10^2*Inputs!$D$12^2+2*B10*C10*Inputs!$D$7*Inputs!$D$12*-1)</f>
        <v>9.4099999999999989E-2</v>
      </c>
    </row>
    <row r="11" spans="1:9" x14ac:dyDescent="0.25">
      <c r="A11" s="8">
        <v>9</v>
      </c>
      <c r="B11" s="9">
        <f t="shared" si="0"/>
        <v>0.08</v>
      </c>
      <c r="C11" s="9">
        <f t="shared" si="1"/>
        <v>0.92</v>
      </c>
      <c r="D11" s="10">
        <f>B11*Inputs!$D$6+C11*Inputs!$D$11</f>
        <v>8.5599999999999996E-2</v>
      </c>
      <c r="E11" s="9">
        <f>SQRT(B11^2*Inputs!$D$7^2+C11^2*Inputs!$D$12^2+2*B11*C11*Inputs!$D$7*Inputs!$D$12*1)</f>
        <v>0.13039999999999999</v>
      </c>
      <c r="F11" s="9">
        <f>SQRT(B11^2*Inputs!$D$7^2+C11^2*Inputs!$D$12^2+2*B11*C11*Inputs!$D$7*Inputs!$D$12*0.5)</f>
        <v>0.12163946727933331</v>
      </c>
      <c r="G11" s="9">
        <f>SQRT(B11^2*Inputs!$D$7^2+C11^2*Inputs!$D$12^2+2*B11*C11*Inputs!$D$7*Inputs!$D$12*0)</f>
        <v>0.11219696965604731</v>
      </c>
      <c r="H11" s="9">
        <f>SQRT(B11^2*Inputs!$D$7^2+C11^2*Inputs!$D$12^2+2*B11*C11*Inputs!$D$7*Inputs!$D$12*-0.5)</f>
        <v>0.1018830702324974</v>
      </c>
      <c r="I11" s="9">
        <f>SQRT(B11^2*Inputs!$D$7^2+C11^2*Inputs!$D$12^2+2*B11*C11*Inputs!$D$7*Inputs!$D$12*-1)</f>
        <v>9.0399999999999994E-2</v>
      </c>
    </row>
    <row r="12" spans="1:9" x14ac:dyDescent="0.25">
      <c r="A12" s="8">
        <v>10</v>
      </c>
      <c r="B12" s="14">
        <f t="shared" si="0"/>
        <v>0.09</v>
      </c>
      <c r="C12" s="14">
        <f t="shared" si="1"/>
        <v>0.91</v>
      </c>
      <c r="D12" s="7">
        <f>B12*Inputs!$D$6+C12*Inputs!$D$11</f>
        <v>8.6300000000000002E-2</v>
      </c>
      <c r="E12" s="14">
        <f>SQRT(B12^2*Inputs!$D$7^2+C12^2*Inputs!$D$12^2+2*B12*C12*Inputs!$D$7*Inputs!$D$12*1)</f>
        <v>0.13170000000000001</v>
      </c>
      <c r="F12" s="14">
        <f>SQRT(B12^2*Inputs!$D$7^2+C12^2*Inputs!$D$12^2+2*B12*C12*Inputs!$D$7*Inputs!$D$12*0.5)</f>
        <v>0.12201594158141796</v>
      </c>
      <c r="G12" s="14">
        <f>SQRT(B12^2*Inputs!$D$7^2+C12^2*Inputs!$D$12^2+2*B12*C12*Inputs!$D$7*Inputs!$D$12*0)</f>
        <v>0.11149390117849496</v>
      </c>
      <c r="H12" s="14">
        <f>SQRT(B12^2*Inputs!$D$7^2+C12^2*Inputs!$D$12^2+2*B12*C12*Inputs!$D$7*Inputs!$D$12*-0.5)</f>
        <v>9.9869364672055455E-2</v>
      </c>
      <c r="I12" s="14">
        <f>SQRT(B12^2*Inputs!$D$7^2+C12^2*Inputs!$D$12^2+2*B12*C12*Inputs!$D$7*Inputs!$D$12*-1)</f>
        <v>8.6699999999999999E-2</v>
      </c>
    </row>
    <row r="13" spans="1:9" x14ac:dyDescent="0.25">
      <c r="A13" s="8">
        <v>11</v>
      </c>
      <c r="B13" s="9">
        <f t="shared" si="0"/>
        <v>0.1</v>
      </c>
      <c r="C13" s="9">
        <f t="shared" si="1"/>
        <v>0.9</v>
      </c>
      <c r="D13" s="10">
        <f>B13*Inputs!$D$6+C13*Inputs!$D$11</f>
        <v>8.7000000000000008E-2</v>
      </c>
      <c r="E13" s="9">
        <f>SQRT(B13^2*Inputs!$D$7^2+C13^2*Inputs!$D$12^2+2*B13*C13*Inputs!$D$7*Inputs!$D$12*1)</f>
        <v>0.13300000000000001</v>
      </c>
      <c r="F13" s="9">
        <f>SQRT(B13^2*Inputs!$D$7^2+C13^2*Inputs!$D$12^2+2*B13*C13*Inputs!$D$7*Inputs!$D$12*0.5)</f>
        <v>0.12242957159118055</v>
      </c>
      <c r="G13" s="9">
        <f>SQRT(B13^2*Inputs!$D$7^2+C13^2*Inputs!$D$12^2+2*B13*C13*Inputs!$D$7*Inputs!$D$12*0)</f>
        <v>0.11085576214162257</v>
      </c>
      <c r="H13" s="9">
        <f>SQRT(B13^2*Inputs!$D$7^2+C13^2*Inputs!$D$12^2+2*B13*C13*Inputs!$D$7*Inputs!$D$12*-0.5)</f>
        <v>9.7923439482077018E-2</v>
      </c>
      <c r="I13" s="9">
        <f>SQRT(B13^2*Inputs!$D$7^2+C13^2*Inputs!$D$12^2+2*B13*C13*Inputs!$D$7*Inputs!$D$12*-1)</f>
        <v>8.3000000000000004E-2</v>
      </c>
    </row>
    <row r="14" spans="1:9" x14ac:dyDescent="0.25">
      <c r="A14" s="8">
        <v>12</v>
      </c>
      <c r="B14" s="14">
        <f t="shared" si="0"/>
        <v>0.11</v>
      </c>
      <c r="C14" s="14">
        <f t="shared" si="1"/>
        <v>0.89</v>
      </c>
      <c r="D14" s="7">
        <f>B14*Inputs!$D$6+C14*Inputs!$D$11</f>
        <v>8.77E-2</v>
      </c>
      <c r="E14" s="14">
        <f>SQRT(B14^2*Inputs!$D$7^2+C14^2*Inputs!$D$12^2+2*B14*C14*Inputs!$D$7*Inputs!$D$12*1)</f>
        <v>0.1343</v>
      </c>
      <c r="F14" s="14">
        <f>SQRT(B14^2*Inputs!$D$7^2+C14^2*Inputs!$D$12^2+2*B14*C14*Inputs!$D$7*Inputs!$D$12*0.5)</f>
        <v>0.12287998209635287</v>
      </c>
      <c r="G14" s="14">
        <f>SQRT(B14^2*Inputs!$D$7^2+C14^2*Inputs!$D$12^2+2*B14*C14*Inputs!$D$7*Inputs!$D$12*0)</f>
        <v>0.11028367966294922</v>
      </c>
      <c r="H14" s="14">
        <f>SQRT(B14^2*Inputs!$D$7^2+C14^2*Inputs!$D$12^2+2*B14*C14*Inputs!$D$7*Inputs!$D$12*-0.5)</f>
        <v>9.6049414365731556E-2</v>
      </c>
      <c r="I14" s="14">
        <f>SQRT(B14^2*Inputs!$D$7^2+C14^2*Inputs!$D$12^2+2*B14*C14*Inputs!$D$7*Inputs!$D$12*-1)</f>
        <v>7.9299999999999995E-2</v>
      </c>
    </row>
    <row r="15" spans="1:9" x14ac:dyDescent="0.25">
      <c r="A15" s="8">
        <v>13</v>
      </c>
      <c r="B15" s="9">
        <f t="shared" si="0"/>
        <v>0.12</v>
      </c>
      <c r="C15" s="9">
        <f t="shared" si="1"/>
        <v>0.88</v>
      </c>
      <c r="D15" s="10">
        <f>B15*Inputs!$D$6+C15*Inputs!$D$11</f>
        <v>8.8400000000000006E-2</v>
      </c>
      <c r="E15" s="9">
        <f>SQRT(B15^2*Inputs!$D$7^2+C15^2*Inputs!$D$12^2+2*B15*C15*Inputs!$D$7*Inputs!$D$12*1)</f>
        <v>0.1356</v>
      </c>
      <c r="F15" s="9">
        <f>SQRT(B15^2*Inputs!$D$7^2+C15^2*Inputs!$D$12^2+2*B15*C15*Inputs!$D$7*Inputs!$D$12*0.5)</f>
        <v>0.12336677024223337</v>
      </c>
      <c r="G15" s="9">
        <f>SQRT(B15^2*Inputs!$D$7^2+C15^2*Inputs!$D$12^2+2*B15*C15*Inputs!$D$7*Inputs!$D$12*0)</f>
        <v>0.10977868645597832</v>
      </c>
      <c r="H15" s="9">
        <f>SQRT(B15^2*Inputs!$D$7^2+C15^2*Inputs!$D$12^2+2*B15*C15*Inputs!$D$7*Inputs!$D$12*-0.5)</f>
        <v>9.4251578236122915E-2</v>
      </c>
      <c r="I15" s="9">
        <f>SQRT(B15^2*Inputs!$D$7^2+C15^2*Inputs!$D$12^2+2*B15*C15*Inputs!$D$7*Inputs!$D$12*-1)</f>
        <v>7.5600000000000001E-2</v>
      </c>
    </row>
    <row r="16" spans="1:9" x14ac:dyDescent="0.25">
      <c r="A16" s="8">
        <v>14</v>
      </c>
      <c r="B16" s="14">
        <f t="shared" si="0"/>
        <v>0.13</v>
      </c>
      <c r="C16" s="14">
        <f t="shared" si="1"/>
        <v>0.87</v>
      </c>
      <c r="D16" s="7">
        <f>B16*Inputs!$D$6+C16*Inputs!$D$11</f>
        <v>8.9099999999999999E-2</v>
      </c>
      <c r="E16" s="14">
        <f>SQRT(B16^2*Inputs!$D$7^2+C16^2*Inputs!$D$12^2+2*B16*C16*Inputs!$D$7*Inputs!$D$12*1)</f>
        <v>0.13689999999999999</v>
      </c>
      <c r="F16" s="14">
        <f>SQRT(B16^2*Inputs!$D$7^2+C16^2*Inputs!$D$12^2+2*B16*C16*Inputs!$D$7*Inputs!$D$12*0.5)</f>
        <v>0.12388950722317044</v>
      </c>
      <c r="G16" s="14">
        <f>SQRT(B16^2*Inputs!$D$7^2+C16^2*Inputs!$D$12^2+2*B16*C16*Inputs!$D$7*Inputs!$D$12*0)</f>
        <v>0.10934171207732207</v>
      </c>
      <c r="H16" s="14">
        <f>SQRT(B16^2*Inputs!$D$7^2+C16^2*Inputs!$D$12^2+2*B16*C16*Inputs!$D$7*Inputs!$D$12*-0.5)</f>
        <v>9.2534371992249453E-2</v>
      </c>
      <c r="I16" s="14">
        <f>SQRT(B16^2*Inputs!$D$7^2+C16^2*Inputs!$D$12^2+2*B16*C16*Inputs!$D$7*Inputs!$D$12*-1)</f>
        <v>7.1900000000000006E-2</v>
      </c>
    </row>
    <row r="17" spans="1:9" x14ac:dyDescent="0.25">
      <c r="A17" s="8">
        <v>15</v>
      </c>
      <c r="B17" s="9">
        <f t="shared" si="0"/>
        <v>0.14000000000000001</v>
      </c>
      <c r="C17" s="9">
        <f t="shared" si="1"/>
        <v>0.86</v>
      </c>
      <c r="D17" s="10">
        <f>B17*Inputs!$D$6+C17*Inputs!$D$11</f>
        <v>8.9800000000000005E-2</v>
      </c>
      <c r="E17" s="9">
        <f>SQRT(B17^2*Inputs!$D$7^2+C17^2*Inputs!$D$12^2+2*B17*C17*Inputs!$D$7*Inputs!$D$12*1)</f>
        <v>0.13819999999999999</v>
      </c>
      <c r="F17" s="9">
        <f>SQRT(B17^2*Inputs!$D$7^2+C17^2*Inputs!$D$12^2+2*B17*C17*Inputs!$D$7*Inputs!$D$12*0.5)</f>
        <v>0.12444774003572745</v>
      </c>
      <c r="G17" s="9">
        <f>SQRT(B17^2*Inputs!$D$7^2+C17^2*Inputs!$D$12^2+2*B17*C17*Inputs!$D$7*Inputs!$D$12*0)</f>
        <v>0.10897357477847554</v>
      </c>
      <c r="H17" s="9">
        <f>SQRT(B17^2*Inputs!$D$7^2+C17^2*Inputs!$D$12^2+2*B17*C17*Inputs!$D$7*Inputs!$D$12*-0.5)</f>
        <v>9.0902365205752469E-2</v>
      </c>
      <c r="I17" s="9">
        <f>SQRT(B17^2*Inputs!$D$7^2+C17^2*Inputs!$D$12^2+2*B17*C17*Inputs!$D$7*Inputs!$D$12*-1)</f>
        <v>6.8199999999999983E-2</v>
      </c>
    </row>
    <row r="18" spans="1:9" x14ac:dyDescent="0.25">
      <c r="A18" s="8">
        <v>16</v>
      </c>
      <c r="B18" s="14">
        <f t="shared" si="0"/>
        <v>0.15</v>
      </c>
      <c r="C18" s="14">
        <f t="shared" si="1"/>
        <v>0.85</v>
      </c>
      <c r="D18" s="7">
        <f>B18*Inputs!$D$6+C18*Inputs!$D$11</f>
        <v>9.0499999999999997E-2</v>
      </c>
      <c r="E18" s="14">
        <f>SQRT(B18^2*Inputs!$D$7^2+C18^2*Inputs!$D$12^2+2*B18*C18*Inputs!$D$7*Inputs!$D$12*1)</f>
        <v>0.13949999999999999</v>
      </c>
      <c r="F18" s="14">
        <f>SQRT(B18^2*Inputs!$D$7^2+C18^2*Inputs!$D$12^2+2*B18*C18*Inputs!$D$7*Inputs!$D$12*0.5)</f>
        <v>0.12504099327820456</v>
      </c>
      <c r="G18" s="14">
        <f>SQRT(B18^2*Inputs!$D$7^2+C18^2*Inputs!$D$12^2+2*B18*C18*Inputs!$D$7*Inputs!$D$12*0)</f>
        <v>0.10867497412007972</v>
      </c>
      <c r="H18" s="14">
        <f>SQRT(B18^2*Inputs!$D$7^2+C18^2*Inputs!$D$12^2+2*B18*C18*Inputs!$D$7*Inputs!$D$12*-0.5)</f>
        <v>8.9360226051638861E-2</v>
      </c>
      <c r="I18" s="14">
        <f>SQRT(B18^2*Inputs!$D$7^2+C18^2*Inputs!$D$12^2+2*B18*C18*Inputs!$D$7*Inputs!$D$12*-1)</f>
        <v>6.4499999999999988E-2</v>
      </c>
    </row>
    <row r="19" spans="1:9" x14ac:dyDescent="0.25">
      <c r="A19" s="8">
        <v>17</v>
      </c>
      <c r="B19" s="9">
        <f t="shared" si="0"/>
        <v>0.16</v>
      </c>
      <c r="C19" s="9">
        <f t="shared" si="1"/>
        <v>0.84</v>
      </c>
      <c r="D19" s="10">
        <f>B19*Inputs!$D$6+C19*Inputs!$D$11</f>
        <v>9.1200000000000003E-2</v>
      </c>
      <c r="E19" s="9">
        <f>SQRT(B19^2*Inputs!$D$7^2+C19^2*Inputs!$D$12^2+2*B19*C19*Inputs!$D$7*Inputs!$D$12*1)</f>
        <v>0.14079999999999998</v>
      </c>
      <c r="F19" s="9">
        <f>SQRT(B19^2*Inputs!$D$7^2+C19^2*Inputs!$D$12^2+2*B19*C19*Inputs!$D$7*Inputs!$D$12*0.5)</f>
        <v>0.12566877098149723</v>
      </c>
      <c r="G19" s="9">
        <f>SQRT(B19^2*Inputs!$D$7^2+C19^2*Inputs!$D$12^2+2*B19*C19*Inputs!$D$7*Inputs!$D$12*0)</f>
        <v>0.10844648449811548</v>
      </c>
      <c r="H19" s="9">
        <f>SQRT(B19^2*Inputs!$D$7^2+C19^2*Inputs!$D$12^2+2*B19*C19*Inputs!$D$7*Inputs!$D$12*-0.5)</f>
        <v>8.791268395402338E-2</v>
      </c>
      <c r="I19" s="9">
        <f>SQRT(B19^2*Inputs!$D$7^2+C19^2*Inputs!$D$12^2+2*B19*C19*Inputs!$D$7*Inputs!$D$12*-1)</f>
        <v>6.0799999999999993E-2</v>
      </c>
    </row>
    <row r="20" spans="1:9" x14ac:dyDescent="0.25">
      <c r="A20" s="8">
        <v>18</v>
      </c>
      <c r="B20" s="14">
        <f t="shared" si="0"/>
        <v>0.17</v>
      </c>
      <c r="C20" s="14">
        <f t="shared" si="1"/>
        <v>0.83</v>
      </c>
      <c r="D20" s="7">
        <f>B20*Inputs!$D$6+C20*Inputs!$D$11</f>
        <v>9.1900000000000009E-2</v>
      </c>
      <c r="E20" s="14">
        <f>SQRT(B20^2*Inputs!$D$7^2+C20^2*Inputs!$D$12^2+2*B20*C20*Inputs!$D$7*Inputs!$D$12*1)</f>
        <v>0.1421</v>
      </c>
      <c r="F20" s="14">
        <f>SQRT(B20^2*Inputs!$D$7^2+C20^2*Inputs!$D$12^2+2*B20*C20*Inputs!$D$7*Inputs!$D$12*0.5)</f>
        <v>0.12633055845677243</v>
      </c>
      <c r="G20" s="14">
        <f>SQRT(B20^2*Inputs!$D$7^2+C20^2*Inputs!$D$12^2+2*B20*C20*Inputs!$D$7*Inputs!$D$12*0)</f>
        <v>0.10828854971787183</v>
      </c>
      <c r="H20" s="14">
        <f>SQRT(B20^2*Inputs!$D$7^2+C20^2*Inputs!$D$12^2+2*B20*C20*Inputs!$D$7*Inputs!$D$12*-0.5)</f>
        <v>8.6564484634288674E-2</v>
      </c>
      <c r="I20" s="14">
        <f>SQRT(B20^2*Inputs!$D$7^2+C20^2*Inputs!$D$12^2+2*B20*C20*Inputs!$D$7*Inputs!$D$12*-1)</f>
        <v>5.7099999999999998E-2</v>
      </c>
    </row>
    <row r="21" spans="1:9" x14ac:dyDescent="0.25">
      <c r="A21" s="8">
        <v>19</v>
      </c>
      <c r="B21" s="9">
        <f t="shared" si="0"/>
        <v>0.18</v>
      </c>
      <c r="C21" s="9">
        <f t="shared" si="1"/>
        <v>0.82000000000000006</v>
      </c>
      <c r="D21" s="10">
        <f>B21*Inputs!$D$6+C21*Inputs!$D$11</f>
        <v>9.2600000000000002E-2</v>
      </c>
      <c r="E21" s="9">
        <f>SQRT(B21^2*Inputs!$D$7^2+C21^2*Inputs!$D$12^2+2*B21*C21*Inputs!$D$7*Inputs!$D$12*1)</f>
        <v>0.1434</v>
      </c>
      <c r="F21" s="9">
        <f>SQRT(B21^2*Inputs!$D$7^2+C21^2*Inputs!$D$12^2+2*B21*C21*Inputs!$D$7*Inputs!$D$12*0.5)</f>
        <v>0.12702582414611607</v>
      </c>
      <c r="G21" s="9">
        <f>SQRT(B21^2*Inputs!$D$7^2+C21^2*Inputs!$D$12^2+2*B21*C21*Inputs!$D$7*Inputs!$D$12*0)</f>
        <v>0.10820147873296374</v>
      </c>
      <c r="H21" s="9">
        <f>SQRT(B21^2*Inputs!$D$7^2+C21^2*Inputs!$D$12^2+2*B21*C21*Inputs!$D$7*Inputs!$D$12*-0.5)</f>
        <v>8.5320337552074896E-2</v>
      </c>
      <c r="I21" s="9">
        <f>SQRT(B21^2*Inputs!$D$7^2+C21^2*Inputs!$D$12^2+2*B21*C21*Inputs!$D$7*Inputs!$D$12*-1)</f>
        <v>5.340000000000001E-2</v>
      </c>
    </row>
    <row r="22" spans="1:9" x14ac:dyDescent="0.25">
      <c r="A22" s="8">
        <v>20</v>
      </c>
      <c r="B22" s="14">
        <f t="shared" si="0"/>
        <v>0.19</v>
      </c>
      <c r="C22" s="14">
        <f t="shared" si="1"/>
        <v>0.81</v>
      </c>
      <c r="D22" s="7">
        <f>B22*Inputs!$D$6+C22*Inputs!$D$11</f>
        <v>9.3300000000000008E-2</v>
      </c>
      <c r="E22" s="14">
        <f>SQRT(B22^2*Inputs!$D$7^2+C22^2*Inputs!$D$12^2+2*B22*C22*Inputs!$D$7*Inputs!$D$12*1)</f>
        <v>0.1447</v>
      </c>
      <c r="F22" s="14">
        <f>SQRT(B22^2*Inputs!$D$7^2+C22^2*Inputs!$D$12^2+2*B22*C22*Inputs!$D$7*Inputs!$D$12*0.5)</f>
        <v>0.12775402146312265</v>
      </c>
      <c r="G22" s="14">
        <f>SQRT(B22^2*Inputs!$D$7^2+C22^2*Inputs!$D$12^2+2*B22*C22*Inputs!$D$7*Inputs!$D$12*0)</f>
        <v>0.10818544264363852</v>
      </c>
      <c r="H22" s="14">
        <f>SQRT(B22^2*Inputs!$D$7^2+C22^2*Inputs!$D$12^2+2*B22*C22*Inputs!$D$7*Inputs!$D$12*-0.5)</f>
        <v>8.4184856120326057E-2</v>
      </c>
      <c r="I22" s="14">
        <f>SQRT(B22^2*Inputs!$D$7^2+C22^2*Inputs!$D$12^2+2*B22*C22*Inputs!$D$7*Inputs!$D$12*-1)</f>
        <v>4.9699999999999994E-2</v>
      </c>
    </row>
    <row r="23" spans="1:9" x14ac:dyDescent="0.25">
      <c r="A23" s="8">
        <v>21</v>
      </c>
      <c r="B23" s="9">
        <f t="shared" si="0"/>
        <v>0.2</v>
      </c>
      <c r="C23" s="9">
        <f t="shared" si="1"/>
        <v>0.8</v>
      </c>
      <c r="D23" s="10">
        <f>B23*Inputs!$D$6+C23*Inputs!$D$11</f>
        <v>9.4E-2</v>
      </c>
      <c r="E23" s="9">
        <f>SQRT(B23^2*Inputs!$D$7^2+C23^2*Inputs!$D$12^2+2*B23*C23*Inputs!$D$7*Inputs!$D$12*1)</f>
        <v>0.14600000000000002</v>
      </c>
      <c r="F23" s="9">
        <f>SQRT(B23^2*Inputs!$D$7^2+C23^2*Inputs!$D$12^2+2*B23*C23*Inputs!$D$7*Inputs!$D$12*0.5)</f>
        <v>0.12851459061133877</v>
      </c>
      <c r="G23" s="9">
        <f>SQRT(B23^2*Inputs!$D$7^2+C23^2*Inputs!$D$12^2+2*B23*C23*Inputs!$D$7*Inputs!$D$12*0)</f>
        <v>0.10824047302187847</v>
      </c>
      <c r="H23" s="9">
        <f>SQRT(B23^2*Inputs!$D$7^2+C23^2*Inputs!$D$12^2+2*B23*C23*Inputs!$D$7*Inputs!$D$12*-0.5)</f>
        <v>8.316249154516718E-2</v>
      </c>
      <c r="I23" s="9">
        <f>SQRT(B23^2*Inputs!$D$7^2+C23^2*Inputs!$D$12^2+2*B23*C23*Inputs!$D$7*Inputs!$D$12*-1)</f>
        <v>4.600000000000002E-2</v>
      </c>
    </row>
    <row r="24" spans="1:9" x14ac:dyDescent="0.25">
      <c r="A24" s="8">
        <v>22</v>
      </c>
      <c r="B24" s="14">
        <f t="shared" si="0"/>
        <v>0.21</v>
      </c>
      <c r="C24" s="14">
        <f t="shared" si="1"/>
        <v>0.79</v>
      </c>
      <c r="D24" s="7">
        <f>B24*Inputs!$D$6+C24*Inputs!$D$11</f>
        <v>9.4700000000000006E-2</v>
      </c>
      <c r="E24" s="14">
        <f>SQRT(B24^2*Inputs!$D$7^2+C24^2*Inputs!$D$12^2+2*B24*C24*Inputs!$D$7*Inputs!$D$12*1)</f>
        <v>0.14730000000000001</v>
      </c>
      <c r="F24" s="14">
        <f>SQRT(B24^2*Inputs!$D$7^2+C24^2*Inputs!$D$12^2+2*B24*C24*Inputs!$D$7*Inputs!$D$12*0.5)</f>
        <v>0.12930696036950215</v>
      </c>
      <c r="G24" s="14">
        <f>SQRT(B24^2*Inputs!$D$7^2+C24^2*Inputs!$D$12^2+2*B24*C24*Inputs!$D$7*Inputs!$D$12*0)</f>
        <v>0.10836646160136448</v>
      </c>
      <c r="H24" s="14">
        <f>SQRT(B24^2*Inputs!$D$7^2+C24^2*Inputs!$D$12^2+2*B24*C24*Inputs!$D$7*Inputs!$D$12*-0.5)</f>
        <v>8.2257461667620171E-2</v>
      </c>
      <c r="I24" s="14">
        <f>SQRT(B24^2*Inputs!$D$7^2+C24^2*Inputs!$D$12^2+2*B24*C24*Inputs!$D$7*Inputs!$D$12*-1)</f>
        <v>4.2300000000000025E-2</v>
      </c>
    </row>
    <row r="25" spans="1:9" x14ac:dyDescent="0.25">
      <c r="A25" s="8">
        <v>23</v>
      </c>
      <c r="B25" s="9">
        <f t="shared" si="0"/>
        <v>0.22</v>
      </c>
      <c r="C25" s="9">
        <f t="shared" si="1"/>
        <v>0.78</v>
      </c>
      <c r="D25" s="10">
        <f>B25*Inputs!$D$6+C25*Inputs!$D$11</f>
        <v>9.5400000000000013E-2</v>
      </c>
      <c r="E25" s="9">
        <f>SQRT(B25^2*Inputs!$D$7^2+C25^2*Inputs!$D$12^2+2*B25*C25*Inputs!$D$7*Inputs!$D$12*1)</f>
        <v>0.14859999999999998</v>
      </c>
      <c r="F25" s="9">
        <f>SQRT(B25^2*Inputs!$D$7^2+C25^2*Inputs!$D$12^2+2*B25*C25*Inputs!$D$7*Inputs!$D$12*0.5)</f>
        <v>0.13013054983361899</v>
      </c>
      <c r="G25" s="9">
        <f>SQRT(B25^2*Inputs!$D$7^2+C25^2*Inputs!$D$12^2+2*B25*C25*Inputs!$D$7*Inputs!$D$12*0)</f>
        <v>0.10856316133937884</v>
      </c>
      <c r="H25" s="9">
        <f>SQRT(B25^2*Inputs!$D$7^2+C25^2*Inputs!$D$12^2+2*B25*C25*Inputs!$D$7*Inputs!$D$12*-0.5)</f>
        <v>8.1473676730585809E-2</v>
      </c>
      <c r="I25" s="9">
        <f>SQRT(B25^2*Inputs!$D$7^2+C25^2*Inputs!$D$12^2+2*B25*C25*Inputs!$D$7*Inputs!$D$12*-1)</f>
        <v>3.8600000000000002E-2</v>
      </c>
    </row>
    <row r="26" spans="1:9" x14ac:dyDescent="0.25">
      <c r="A26" s="8">
        <v>24</v>
      </c>
      <c r="B26" s="14">
        <f t="shared" si="0"/>
        <v>0.23</v>
      </c>
      <c r="C26" s="14">
        <f t="shared" si="1"/>
        <v>0.77</v>
      </c>
      <c r="D26" s="7">
        <f>B26*Inputs!$D$6+C26*Inputs!$D$11</f>
        <v>9.6100000000000005E-2</v>
      </c>
      <c r="E26" s="14">
        <f>SQRT(B26^2*Inputs!$D$7^2+C26^2*Inputs!$D$12^2+2*B26*C26*Inputs!$D$7*Inputs!$D$12*1)</f>
        <v>0.14990000000000001</v>
      </c>
      <c r="F26" s="14">
        <f>SQRT(B26^2*Inputs!$D$7^2+C26^2*Inputs!$D$12^2+2*B26*C26*Inputs!$D$7*Inputs!$D$12*0.5)</f>
        <v>0.13098477010706244</v>
      </c>
      <c r="G26" s="14">
        <f>SQRT(B26^2*Inputs!$D$7^2+C26^2*Inputs!$D$12^2+2*B26*C26*Inputs!$D$7*Inputs!$D$12*0)</f>
        <v>0.1088301888264465</v>
      </c>
      <c r="H26" s="14">
        <f>SQRT(B26^2*Inputs!$D$7^2+C26^2*Inputs!$D$12^2+2*B26*C26*Inputs!$D$7*Inputs!$D$12*-0.5)</f>
        <v>8.0814664510842335E-2</v>
      </c>
      <c r="I26" s="14">
        <f>SQRT(B26^2*Inputs!$D$7^2+C26^2*Inputs!$D$12^2+2*B26*C26*Inputs!$D$7*Inputs!$D$12*-1)</f>
        <v>3.49E-2</v>
      </c>
    </row>
    <row r="27" spans="1:9" x14ac:dyDescent="0.25">
      <c r="A27" s="8">
        <v>25</v>
      </c>
      <c r="B27" s="9">
        <f t="shared" si="0"/>
        <v>0.24</v>
      </c>
      <c r="C27" s="9">
        <f t="shared" si="1"/>
        <v>0.76</v>
      </c>
      <c r="D27" s="10">
        <f>B27*Inputs!$D$6+C27*Inputs!$D$11</f>
        <v>9.6799999999999997E-2</v>
      </c>
      <c r="E27" s="9">
        <f>SQRT(B27^2*Inputs!$D$7^2+C27^2*Inputs!$D$12^2+2*B27*C27*Inputs!$D$7*Inputs!$D$12*1)</f>
        <v>0.1512</v>
      </c>
      <c r="F27" s="9">
        <f>SQRT(B27^2*Inputs!$D$7^2+C27^2*Inputs!$D$12^2+2*B27*C27*Inputs!$D$7*Inputs!$D$12*0.5)</f>
        <v>0.13186902593103508</v>
      </c>
      <c r="G27" s="9">
        <f>SQRT(B27^2*Inputs!$D$7^2+C27^2*Inputs!$D$12^2+2*B27*C27*Inputs!$D$7*Inputs!$D$12*0)</f>
        <v>0.10916702798922394</v>
      </c>
      <c r="H27" s="9">
        <f>SQRT(B27^2*Inputs!$D$7^2+C27^2*Inputs!$D$12^2+2*B27*C27*Inputs!$D$7*Inputs!$D$12*-0.5)</f>
        <v>8.0283497681653118E-2</v>
      </c>
      <c r="I27" s="9">
        <f>SQRT(B27^2*Inputs!$D$7^2+C27^2*Inputs!$D$12^2+2*B27*C27*Inputs!$D$7*Inputs!$D$12*-1)</f>
        <v>3.1200000000000012E-2</v>
      </c>
    </row>
    <row r="28" spans="1:9" x14ac:dyDescent="0.25">
      <c r="A28" s="8">
        <v>26</v>
      </c>
      <c r="B28" s="14">
        <f t="shared" si="0"/>
        <v>0.25</v>
      </c>
      <c r="C28" s="14">
        <f t="shared" si="1"/>
        <v>0.75</v>
      </c>
      <c r="D28" s="7">
        <f>B28*Inputs!$D$6+C28*Inputs!$D$11</f>
        <v>9.7500000000000003E-2</v>
      </c>
      <c r="E28" s="14">
        <f>SQRT(B28^2*Inputs!$D$7^2+C28^2*Inputs!$D$12^2+2*B28*C28*Inputs!$D$7*Inputs!$D$12*1)</f>
        <v>0.1525</v>
      </c>
      <c r="F28" s="14">
        <f>SQRT(B28^2*Inputs!$D$7^2+C28^2*Inputs!$D$12^2+2*B28*C28*Inputs!$D$7*Inputs!$D$12*0.5)</f>
        <v>0.13278271724889501</v>
      </c>
      <c r="G28" s="14">
        <f>SQRT(B28^2*Inputs!$D$7^2+C28^2*Inputs!$D$12^2+2*B28*C28*Inputs!$D$7*Inputs!$D$12*0)</f>
        <v>0.10957303500405563</v>
      </c>
      <c r="H28" s="14">
        <f>SQRT(B28^2*Inputs!$D$7^2+C28^2*Inputs!$D$12^2+2*B28*C28*Inputs!$D$7*Inputs!$D$12*-0.5)</f>
        <v>7.9882726543352281E-2</v>
      </c>
      <c r="I28" s="14">
        <f>SQRT(B28^2*Inputs!$D$7^2+C28^2*Inputs!$D$12^2+2*B28*C28*Inputs!$D$7*Inputs!$D$12*-1)</f>
        <v>2.75E-2</v>
      </c>
    </row>
    <row r="29" spans="1:9" x14ac:dyDescent="0.25">
      <c r="A29" s="8">
        <v>27</v>
      </c>
      <c r="B29" s="9">
        <f t="shared" si="0"/>
        <v>0.26</v>
      </c>
      <c r="C29" s="9">
        <f t="shared" si="1"/>
        <v>0.74</v>
      </c>
      <c r="D29" s="10">
        <f>B29*Inputs!$D$6+C29*Inputs!$D$11</f>
        <v>9.820000000000001E-2</v>
      </c>
      <c r="E29" s="9">
        <f>SQRT(B29^2*Inputs!$D$7^2+C29^2*Inputs!$D$12^2+2*B29*C29*Inputs!$D$7*Inputs!$D$12*1)</f>
        <v>0.15379999999999999</v>
      </c>
      <c r="F29" s="9">
        <f>SQRT(B29^2*Inputs!$D$7^2+C29^2*Inputs!$D$12^2+2*B29*C29*Inputs!$D$7*Inputs!$D$12*0.5)</f>
        <v>0.13372524069897948</v>
      </c>
      <c r="G29" s="9">
        <f>SQRT(B29^2*Inputs!$D$7^2+C29^2*Inputs!$D$12^2+2*B29*C29*Inputs!$D$7*Inputs!$D$12*0)</f>
        <v>0.11004744431380495</v>
      </c>
      <c r="H29" s="9">
        <f>SQRT(B29^2*Inputs!$D$7^2+C29^2*Inputs!$D$12^2+2*B29*C29*Inputs!$D$7*Inputs!$D$12*-0.5)</f>
        <v>7.9614320319902246E-2</v>
      </c>
      <c r="I29" s="9">
        <f>SQRT(B29^2*Inputs!$D$7^2+C29^2*Inputs!$D$12^2+2*B29*C29*Inputs!$D$7*Inputs!$D$12*-1)</f>
        <v>2.3799999999999991E-2</v>
      </c>
    </row>
    <row r="30" spans="1:9" x14ac:dyDescent="0.25">
      <c r="A30" s="8">
        <v>28</v>
      </c>
      <c r="B30" s="14">
        <f t="shared" si="0"/>
        <v>0.27</v>
      </c>
      <c r="C30" s="14">
        <f t="shared" si="1"/>
        <v>0.73</v>
      </c>
      <c r="D30" s="7">
        <f>B30*Inputs!$D$6+C30*Inputs!$D$11</f>
        <v>9.8900000000000002E-2</v>
      </c>
      <c r="E30" s="14">
        <f>SQRT(B30^2*Inputs!$D$7^2+C30^2*Inputs!$D$12^2+2*B30*C30*Inputs!$D$7*Inputs!$D$12*1)</f>
        <v>0.15509999999999999</v>
      </c>
      <c r="F30" s="14">
        <f>SQRT(B30^2*Inputs!$D$7^2+C30^2*Inputs!$D$12^2+2*B30*C30*Inputs!$D$7*Inputs!$D$12*0.5)</f>
        <v>0.13469599103165616</v>
      </c>
      <c r="G30" s="14">
        <f>SQRT(B30^2*Inputs!$D$7^2+C30^2*Inputs!$D$12^2+2*B30*C30*Inputs!$D$7*Inputs!$D$12*0)</f>
        <v>0.11058937561990302</v>
      </c>
      <c r="H30" s="14">
        <f>SQRT(B30^2*Inputs!$D$7^2+C30^2*Inputs!$D$12^2+2*B30*C30*Inputs!$D$7*Inputs!$D$12*-0.5)</f>
        <v>7.9479620029288003E-2</v>
      </c>
      <c r="I30" s="14">
        <f>SQRT(B30^2*Inputs!$D$7^2+C30^2*Inputs!$D$12^2+2*B30*C30*Inputs!$D$7*Inputs!$D$12*-1)</f>
        <v>2.0099999999999996E-2</v>
      </c>
    </row>
    <row r="31" spans="1:9" x14ac:dyDescent="0.25">
      <c r="A31" s="8">
        <v>29</v>
      </c>
      <c r="B31" s="9">
        <f t="shared" si="0"/>
        <v>0.28000000000000003</v>
      </c>
      <c r="C31" s="9">
        <f t="shared" si="1"/>
        <v>0.72</v>
      </c>
      <c r="D31" s="10">
        <f>B31*Inputs!$D$6+C31*Inputs!$D$11</f>
        <v>9.9599999999999994E-2</v>
      </c>
      <c r="E31" s="9">
        <f>SQRT(B31^2*Inputs!$D$7^2+C31^2*Inputs!$D$12^2+2*B31*C31*Inputs!$D$7*Inputs!$D$12*1)</f>
        <v>0.15640000000000001</v>
      </c>
      <c r="F31" s="9">
        <f>SQRT(B31^2*Inputs!$D$7^2+C31^2*Inputs!$D$12^2+2*B31*C31*Inputs!$D$7*Inputs!$D$12*0.5)</f>
        <v>0.13569436244737657</v>
      </c>
      <c r="G31" s="9">
        <f>SQRT(B31^2*Inputs!$D$7^2+C31^2*Inputs!$D$12^2+2*B31*C31*Inputs!$D$7*Inputs!$D$12*0)</f>
        <v>0.11119784170567341</v>
      </c>
      <c r="H31" s="9">
        <f>SQRT(B31^2*Inputs!$D$7^2+C31^2*Inputs!$D$12^2+2*B31*C31*Inputs!$D$7*Inputs!$D$12*-0.5)</f>
        <v>7.9479305482622345E-2</v>
      </c>
      <c r="I31" s="9">
        <f>SQRT(B31^2*Inputs!$D$7^2+C31^2*Inputs!$D$12^2+2*B31*C31*Inputs!$D$7*Inputs!$D$12*-1)</f>
        <v>1.6400000000000064E-2</v>
      </c>
    </row>
    <row r="32" spans="1:9" x14ac:dyDescent="0.25">
      <c r="A32" s="8">
        <v>30</v>
      </c>
      <c r="B32" s="14">
        <f t="shared" si="0"/>
        <v>0.28999999999999998</v>
      </c>
      <c r="C32" s="14">
        <f t="shared" si="1"/>
        <v>0.71</v>
      </c>
      <c r="D32" s="7">
        <f>B32*Inputs!$D$6+C32*Inputs!$D$11</f>
        <v>0.1003</v>
      </c>
      <c r="E32" s="14">
        <f>SQRT(B32^2*Inputs!$D$7^2+C32^2*Inputs!$D$12^2+2*B32*C32*Inputs!$D$7*Inputs!$D$12*1)</f>
        <v>0.15769999999999998</v>
      </c>
      <c r="F32" s="14">
        <f>SQRT(B32^2*Inputs!$D$7^2+C32^2*Inputs!$D$12^2+2*B32*C32*Inputs!$D$7*Inputs!$D$12*0.5)</f>
        <v>0.13671974985348678</v>
      </c>
      <c r="G32" s="14">
        <f>SQRT(B32^2*Inputs!$D$7^2+C32^2*Inputs!$D$12^2+2*B32*C32*Inputs!$D$7*Inputs!$D$12*0)</f>
        <v>0.1118717569362348</v>
      </c>
      <c r="H32" s="14">
        <f>SQRT(B32^2*Inputs!$D$7^2+C32^2*Inputs!$D$12^2+2*B32*C32*Inputs!$D$7*Inputs!$D$12*-0.5)</f>
        <v>7.9613378272750113E-2</v>
      </c>
      <c r="I32" s="14">
        <f>SQRT(B32^2*Inputs!$D$7^2+C32^2*Inputs!$D$12^2+2*B32*C32*Inputs!$D$7*Inputs!$D$12*-1)</f>
        <v>1.2699999999999987E-2</v>
      </c>
    </row>
    <row r="33" spans="1:9" x14ac:dyDescent="0.25">
      <c r="A33" s="8">
        <v>31</v>
      </c>
      <c r="B33" s="9">
        <f t="shared" si="0"/>
        <v>0.3</v>
      </c>
      <c r="C33" s="9">
        <f t="shared" si="1"/>
        <v>0.7</v>
      </c>
      <c r="D33" s="10">
        <f>B33*Inputs!$D$6+C33*Inputs!$D$11</f>
        <v>0.10099999999999999</v>
      </c>
      <c r="E33" s="9">
        <f>SQRT(B33^2*Inputs!$D$7^2+C33^2*Inputs!$D$12^2+2*B33*C33*Inputs!$D$7*Inputs!$D$12*1)</f>
        <v>0.159</v>
      </c>
      <c r="F33" s="9">
        <f>SQRT(B33^2*Inputs!$D$7^2+C33^2*Inputs!$D$12^2+2*B33*C33*Inputs!$D$7*Inputs!$D$12*0.5)</f>
        <v>0.13777155003846039</v>
      </c>
      <c r="G33" s="9">
        <f>SQRT(B33^2*Inputs!$D$7^2+C33^2*Inputs!$D$12^2+2*B33*C33*Inputs!$D$7*Inputs!$D$12*0)</f>
        <v>0.11260994627474075</v>
      </c>
      <c r="H33" s="9">
        <f>SQRT(B33^2*Inputs!$D$7^2+C33^2*Inputs!$D$12^2+2*B33*C33*Inputs!$D$7*Inputs!$D$12*-0.5)</f>
        <v>7.9881161734166081E-2</v>
      </c>
      <c r="I33" s="9">
        <f>SQRT(B33^2*Inputs!$D$7^2+C33^2*Inputs!$D$12^2+2*B33*C33*Inputs!$D$7*Inputs!$D$12*-1)</f>
        <v>8.9999999999999716E-3</v>
      </c>
    </row>
    <row r="34" spans="1:9" x14ac:dyDescent="0.25">
      <c r="A34" s="8">
        <v>32</v>
      </c>
      <c r="B34" s="14">
        <f t="shared" si="0"/>
        <v>0.31</v>
      </c>
      <c r="C34" s="14">
        <f t="shared" si="1"/>
        <v>0.69</v>
      </c>
      <c r="D34" s="7">
        <f>B34*Inputs!$D$6+C34*Inputs!$D$11</f>
        <v>0.1017</v>
      </c>
      <c r="E34" s="14">
        <f>SQRT(B34^2*Inputs!$D$7^2+C34^2*Inputs!$D$12^2+2*B34*C34*Inputs!$D$7*Inputs!$D$12*1)</f>
        <v>0.1603</v>
      </c>
      <c r="F34" s="14">
        <f>SQRT(B34^2*Inputs!$D$7^2+C34^2*Inputs!$D$12^2+2*B34*C34*Inputs!$D$7*Inputs!$D$12*0.5)</f>
        <v>0.13884916276305018</v>
      </c>
      <c r="G34" s="14">
        <f>SQRT(B34^2*Inputs!$D$7^2+C34^2*Inputs!$D$12^2+2*B34*C34*Inputs!$D$7*Inputs!$D$12*0)</f>
        <v>0.11341115465420498</v>
      </c>
      <c r="H34" s="14">
        <f>SQRT(B34^2*Inputs!$D$7^2+C34^2*Inputs!$D$12^2+2*B34*C34*Inputs!$D$7*Inputs!$D$12*-0.5)</f>
        <v>8.0281317876576996E-2</v>
      </c>
      <c r="I34" s="14">
        <f>SQRT(B34^2*Inputs!$D$7^2+C34^2*Inputs!$D$12^2+2*B34*C34*Inputs!$D$7*Inputs!$D$12*-1)</f>
        <v>5.3000000000001362E-3</v>
      </c>
    </row>
    <row r="35" spans="1:9" x14ac:dyDescent="0.25">
      <c r="A35" s="8">
        <v>33</v>
      </c>
      <c r="B35" s="9">
        <f t="shared" ref="B35:B66" si="2">(ROW()-3)*0.01</f>
        <v>0.32</v>
      </c>
      <c r="C35" s="9">
        <f t="shared" ref="C35:C66" si="3">1-B35</f>
        <v>0.67999999999999994</v>
      </c>
      <c r="D35" s="10">
        <f>B35*Inputs!$D$6+C35*Inputs!$D$11</f>
        <v>0.10239999999999999</v>
      </c>
      <c r="E35" s="9">
        <f>SQRT(B35^2*Inputs!$D$7^2+C35^2*Inputs!$D$12^2+2*B35*C35*Inputs!$D$7*Inputs!$D$12*1)</f>
        <v>0.16159999999999999</v>
      </c>
      <c r="F35" s="9">
        <f>SQRT(B35^2*Inputs!$D$7^2+C35^2*Inputs!$D$12^2+2*B35*C35*Inputs!$D$7*Inputs!$D$12*0.5)</f>
        <v>0.13995199176860612</v>
      </c>
      <c r="G35" s="9">
        <f>SQRT(B35^2*Inputs!$D$7^2+C35^2*Inputs!$D$12^2+2*B35*C35*Inputs!$D$7*Inputs!$D$12*0)</f>
        <v>0.1142740565482822</v>
      </c>
      <c r="H35" s="9">
        <f>SQRT(B35^2*Inputs!$D$7^2+C35^2*Inputs!$D$12^2+2*B35*C35*Inputs!$D$7*Inputs!$D$12*-0.5)</f>
        <v>8.0811880314716103E-2</v>
      </c>
      <c r="I35" s="9">
        <f>SQRT(B35^2*Inputs!$D$7^2+C35^2*Inputs!$D$12^2+2*B35*C35*Inputs!$D$7*Inputs!$D$12*-1)</f>
        <v>1.6000000000001278E-3</v>
      </c>
    </row>
    <row r="36" spans="1:9" x14ac:dyDescent="0.25">
      <c r="A36" s="8">
        <v>34</v>
      </c>
      <c r="B36" s="14">
        <f t="shared" si="2"/>
        <v>0.33</v>
      </c>
      <c r="C36" s="14">
        <f t="shared" si="3"/>
        <v>0.66999999999999993</v>
      </c>
      <c r="D36" s="7">
        <f>B36*Inputs!$D$6+C36*Inputs!$D$11</f>
        <v>0.1031</v>
      </c>
      <c r="E36" s="14">
        <f>SQRT(B36^2*Inputs!$D$7^2+C36^2*Inputs!$D$12^2+2*B36*C36*Inputs!$D$7*Inputs!$D$12*1)</f>
        <v>0.16289999999999999</v>
      </c>
      <c r="F36" s="14">
        <f>SQRT(B36^2*Inputs!$D$7^2+C36^2*Inputs!$D$12^2+2*B36*C36*Inputs!$D$7*Inputs!$D$12*0.5)</f>
        <v>0.14107944570347589</v>
      </c>
      <c r="G36" s="14">
        <f>SQRT(B36^2*Inputs!$D$7^2+C36^2*Inputs!$D$12^2+2*B36*C36*Inputs!$D$7*Inputs!$D$12*0)</f>
        <v>0.11519726559254781</v>
      </c>
      <c r="H36" s="14">
        <f>SQRT(B36^2*Inputs!$D$7^2+C36^2*Inputs!$D$12^2+2*B36*C36*Inputs!$D$7*Inputs!$D$12*-0.5)</f>
        <v>8.1470301337358511E-2</v>
      </c>
      <c r="I36" s="14">
        <f>SQRT(B36^2*Inputs!$D$7^2+C36^2*Inputs!$D$12^2+2*B36*C36*Inputs!$D$7*Inputs!$D$12*-1)</f>
        <v>2.1000000000003728E-3</v>
      </c>
    </row>
    <row r="37" spans="1:9" x14ac:dyDescent="0.25">
      <c r="A37" s="8">
        <v>35</v>
      </c>
      <c r="B37" s="9">
        <f t="shared" si="2"/>
        <v>0.34</v>
      </c>
      <c r="C37" s="9">
        <f t="shared" si="3"/>
        <v>0.65999999999999992</v>
      </c>
      <c r="D37" s="10">
        <f>B37*Inputs!$D$6+C37*Inputs!$D$11</f>
        <v>0.1038</v>
      </c>
      <c r="E37" s="9">
        <f>SQRT(B37^2*Inputs!$D$7^2+C37^2*Inputs!$D$12^2+2*B37*C37*Inputs!$D$7*Inputs!$D$12*1)</f>
        <v>0.16419999999999998</v>
      </c>
      <c r="F37" s="9">
        <f>SQRT(B37^2*Inputs!$D$7^2+C37^2*Inputs!$D$12^2+2*B37*C37*Inputs!$D$7*Inputs!$D$12*0.5)</f>
        <v>0.14223093896898803</v>
      </c>
      <c r="G37" s="9">
        <f>SQRT(B37^2*Inputs!$D$7^2+C37^2*Inputs!$D$12^2+2*B37*C37*Inputs!$D$7*Inputs!$D$12*0)</f>
        <v>0.1161793441193399</v>
      </c>
      <c r="H37" s="9">
        <f>SQRT(B37^2*Inputs!$D$7^2+C37^2*Inputs!$D$12^2+2*B37*C37*Inputs!$D$7*Inputs!$D$12*-0.5)</f>
        <v>8.2253510563379595E-2</v>
      </c>
      <c r="I37" s="9">
        <f>SQRT(B37^2*Inputs!$D$7^2+C37^2*Inputs!$D$12^2+2*B37*C37*Inputs!$D$7*Inputs!$D$12*-1)</f>
        <v>5.7999999999999753E-3</v>
      </c>
    </row>
    <row r="38" spans="1:9" x14ac:dyDescent="0.25">
      <c r="A38" s="8">
        <v>36</v>
      </c>
      <c r="B38" s="14">
        <f t="shared" si="2"/>
        <v>0.35000000000000003</v>
      </c>
      <c r="C38" s="14">
        <f t="shared" si="3"/>
        <v>0.64999999999999991</v>
      </c>
      <c r="D38" s="7">
        <f>B38*Inputs!$D$6+C38*Inputs!$D$11</f>
        <v>0.1045</v>
      </c>
      <c r="E38" s="14">
        <f>SQRT(B38^2*Inputs!$D$7^2+C38^2*Inputs!$D$12^2+2*B38*C38*Inputs!$D$7*Inputs!$D$12*1)</f>
        <v>0.16549999999999998</v>
      </c>
      <c r="F38" s="14">
        <f>SQRT(B38^2*Inputs!$D$7^2+C38^2*Inputs!$D$12^2+2*B38*C38*Inputs!$D$7*Inputs!$D$12*0.5)</f>
        <v>0.1434058924870244</v>
      </c>
      <c r="G38" s="14">
        <f>SQRT(B38^2*Inputs!$D$7^2+C38^2*Inputs!$D$12^2+2*B38*C38*Inputs!$D$7*Inputs!$D$12*0)</f>
        <v>0.11721881248332112</v>
      </c>
      <c r="H38" s="14">
        <f>SQRT(B38^2*Inputs!$D$7^2+C38^2*Inputs!$D$12^2+2*B38*C38*Inputs!$D$7*Inputs!$D$12*-0.5)</f>
        <v>8.3157982178501663E-2</v>
      </c>
      <c r="I38" s="14">
        <f>SQRT(B38^2*Inputs!$D$7^2+C38^2*Inputs!$D$12^2+2*B38*C38*Inputs!$D$7*Inputs!$D$12*-1)</f>
        <v>9.5000000000000032E-3</v>
      </c>
    </row>
    <row r="39" spans="1:9" x14ac:dyDescent="0.25">
      <c r="A39" s="8">
        <v>37</v>
      </c>
      <c r="B39" s="9">
        <f t="shared" si="2"/>
        <v>0.36</v>
      </c>
      <c r="C39" s="9">
        <f t="shared" si="3"/>
        <v>0.64</v>
      </c>
      <c r="D39" s="10">
        <f>B39*Inputs!$D$6+C39*Inputs!$D$11</f>
        <v>0.1052</v>
      </c>
      <c r="E39" s="9">
        <f>SQRT(B39^2*Inputs!$D$7^2+C39^2*Inputs!$D$12^2+2*B39*C39*Inputs!$D$7*Inputs!$D$12*1)</f>
        <v>0.1668</v>
      </c>
      <c r="F39" s="9">
        <f>SQRT(B39^2*Inputs!$D$7^2+C39^2*Inputs!$D$12^2+2*B39*C39*Inputs!$D$7*Inputs!$D$12*0.5)</f>
        <v>0.14460373439161242</v>
      </c>
      <c r="G39" s="9">
        <f>SQRT(B39^2*Inputs!$D$7^2+C39^2*Inputs!$D$12^2+2*B39*C39*Inputs!$D$7*Inputs!$D$12*0)</f>
        <v>0.11831415807079049</v>
      </c>
      <c r="H39" s="9">
        <f>SQRT(B39^2*Inputs!$D$7^2+C39^2*Inputs!$D$12^2+2*B39*C39*Inputs!$D$7*Inputs!$D$12*-0.5)</f>
        <v>8.417980755501879E-2</v>
      </c>
      <c r="I39" s="9">
        <f>SQRT(B39^2*Inputs!$D$7^2+C39^2*Inputs!$D$12^2+2*B39*C39*Inputs!$D$7*Inputs!$D$12*-1)</f>
        <v>1.3199999999999967E-2</v>
      </c>
    </row>
    <row r="40" spans="1:9" x14ac:dyDescent="0.25">
      <c r="A40" s="8">
        <v>38</v>
      </c>
      <c r="B40" s="14">
        <f t="shared" si="2"/>
        <v>0.37</v>
      </c>
      <c r="C40" s="14">
        <f t="shared" si="3"/>
        <v>0.63</v>
      </c>
      <c r="D40" s="7">
        <f>B40*Inputs!$D$6+C40*Inputs!$D$11</f>
        <v>0.10589999999999999</v>
      </c>
      <c r="E40" s="14">
        <f>SQRT(B40^2*Inputs!$D$7^2+C40^2*Inputs!$D$12^2+2*B40*C40*Inputs!$D$7*Inputs!$D$12*1)</f>
        <v>0.1681</v>
      </c>
      <c r="F40" s="14">
        <f>SQRT(B40^2*Inputs!$D$7^2+C40^2*Inputs!$D$12^2+2*B40*C40*Inputs!$D$7*Inputs!$D$12*0.5)</f>
        <v>0.14582390064732187</v>
      </c>
      <c r="G40" s="14">
        <f>SQRT(B40^2*Inputs!$D$7^2+C40^2*Inputs!$D$12^2+2*B40*C40*Inputs!$D$7*Inputs!$D$12*0)</f>
        <v>0.11946384390266371</v>
      </c>
      <c r="H40" s="14">
        <f>SQRT(B40^2*Inputs!$D$7^2+C40^2*Inputs!$D$12^2+2*B40*C40*Inputs!$D$7*Inputs!$D$12*-0.5)</f>
        <v>8.5314770116316913E-2</v>
      </c>
      <c r="I40" s="14">
        <f>SQRT(B40^2*Inputs!$D$7^2+C40^2*Inputs!$D$12^2+2*B40*C40*Inputs!$D$7*Inputs!$D$12*-1)</f>
        <v>1.6900000000000012E-2</v>
      </c>
    </row>
    <row r="41" spans="1:9" x14ac:dyDescent="0.25">
      <c r="A41" s="8">
        <v>39</v>
      </c>
      <c r="B41" s="9">
        <f t="shared" si="2"/>
        <v>0.38</v>
      </c>
      <c r="C41" s="9">
        <f t="shared" si="3"/>
        <v>0.62</v>
      </c>
      <c r="D41" s="10">
        <f>B41*Inputs!$D$6+C41*Inputs!$D$11</f>
        <v>0.1066</v>
      </c>
      <c r="E41" s="9">
        <f>SQRT(B41^2*Inputs!$D$7^2+C41^2*Inputs!$D$12^2+2*B41*C41*Inputs!$D$7*Inputs!$D$12*1)</f>
        <v>0.1694</v>
      </c>
      <c r="F41" s="9">
        <f>SQRT(B41^2*Inputs!$D$7^2+C41^2*Inputs!$D$12^2+2*B41*C41*Inputs!$D$7*Inputs!$D$12*0.5)</f>
        <v>0.14706583559753095</v>
      </c>
      <c r="G41" s="9">
        <f>SQRT(B41^2*Inputs!$D$7^2+C41^2*Inputs!$D$12^2+2*B41*C41*Inputs!$D$7*Inputs!$D$12*0)</f>
        <v>0.12066631675824037</v>
      </c>
      <c r="H41" s="9">
        <f>SQRT(B41^2*Inputs!$D$7^2+C41^2*Inputs!$D$12^2+2*B41*C41*Inputs!$D$7*Inputs!$D$12*-0.5)</f>
        <v>8.6558419578917925E-2</v>
      </c>
      <c r="I41" s="9">
        <f>SQRT(B41^2*Inputs!$D$7^2+C41^2*Inputs!$D$12^2+2*B41*C41*Inputs!$D$7*Inputs!$D$12*-1)</f>
        <v>2.0600000000000052E-2</v>
      </c>
    </row>
    <row r="42" spans="1:9" x14ac:dyDescent="0.25">
      <c r="A42" s="8">
        <v>40</v>
      </c>
      <c r="B42" s="14">
        <f t="shared" si="2"/>
        <v>0.39</v>
      </c>
      <c r="C42" s="14">
        <f t="shared" si="3"/>
        <v>0.61</v>
      </c>
      <c r="D42" s="7">
        <f>B42*Inputs!$D$6+C42*Inputs!$D$11</f>
        <v>0.10730000000000001</v>
      </c>
      <c r="E42" s="14">
        <f>SQRT(B42^2*Inputs!$D$7^2+C42^2*Inputs!$D$12^2+2*B42*C42*Inputs!$D$7*Inputs!$D$12*1)</f>
        <v>0.17070000000000002</v>
      </c>
      <c r="F42" s="14">
        <f>SQRT(B42^2*Inputs!$D$7^2+C42^2*Inputs!$D$12^2+2*B42*C42*Inputs!$D$7*Inputs!$D$12*0.5)</f>
        <v>0.14832899244584655</v>
      </c>
      <c r="G42" s="14">
        <f>SQRT(B42^2*Inputs!$D$7^2+C42^2*Inputs!$D$12^2+2*B42*C42*Inputs!$D$7*Inputs!$D$12*0)</f>
        <v>0.12192001476377864</v>
      </c>
      <c r="H42" s="14">
        <f>SQRT(B42^2*Inputs!$D$7^2+C42^2*Inputs!$D$12^2+2*B42*C42*Inputs!$D$7*Inputs!$D$12*-0.5)</f>
        <v>8.7906143130045244E-2</v>
      </c>
      <c r="I42" s="14">
        <f>SQRT(B42^2*Inputs!$D$7^2+C42^2*Inputs!$D$12^2+2*B42*C42*Inputs!$D$7*Inputs!$D$12*-1)</f>
        <v>2.4300000000000016E-2</v>
      </c>
    </row>
    <row r="43" spans="1:9" x14ac:dyDescent="0.25">
      <c r="A43" s="8">
        <v>41</v>
      </c>
      <c r="B43" s="9">
        <f t="shared" si="2"/>
        <v>0.4</v>
      </c>
      <c r="C43" s="9">
        <f t="shared" si="3"/>
        <v>0.6</v>
      </c>
      <c r="D43" s="10">
        <f>B43*Inputs!$D$6+C43*Inputs!$D$11</f>
        <v>0.108</v>
      </c>
      <c r="E43" s="9">
        <f>SQRT(B43^2*Inputs!$D$7^2+C43^2*Inputs!$D$12^2+2*B43*C43*Inputs!$D$7*Inputs!$D$12*1)</f>
        <v>0.17199999999999999</v>
      </c>
      <c r="F43" s="9">
        <f>SQRT(B43^2*Inputs!$D$7^2+C43^2*Inputs!$D$12^2+2*B43*C43*Inputs!$D$7*Inputs!$D$12*0.5)</f>
        <v>0.14961283367412034</v>
      </c>
      <c r="G43" s="9">
        <f>SQRT(B43^2*Inputs!$D$7^2+C43^2*Inputs!$D$12^2+2*B43*C43*Inputs!$D$7*Inputs!$D$12*0)</f>
        <v>0.12322337440599491</v>
      </c>
      <c r="H43" s="9">
        <f>SQRT(B43^2*Inputs!$D$7^2+C43^2*Inputs!$D$12^2+2*B43*C43*Inputs!$D$7*Inputs!$D$12*-0.5)</f>
        <v>8.9353231614754711E-2</v>
      </c>
      <c r="I43" s="9">
        <f>SQRT(B43^2*Inputs!$D$7^2+C43^2*Inputs!$D$12^2+2*B43*C43*Inputs!$D$7*Inputs!$D$12*-1)</f>
        <v>2.8000000000000032E-2</v>
      </c>
    </row>
    <row r="44" spans="1:9" x14ac:dyDescent="0.25">
      <c r="A44" s="8">
        <v>42</v>
      </c>
      <c r="B44" s="14">
        <f t="shared" si="2"/>
        <v>0.41000000000000003</v>
      </c>
      <c r="C44" s="14">
        <f t="shared" si="3"/>
        <v>0.59</v>
      </c>
      <c r="D44" s="7">
        <f>B44*Inputs!$D$6+C44*Inputs!$D$11</f>
        <v>0.10869999999999999</v>
      </c>
      <c r="E44" s="14">
        <f>SQRT(B44^2*Inputs!$D$7^2+C44^2*Inputs!$D$12^2+2*B44*C44*Inputs!$D$7*Inputs!$D$12*1)</f>
        <v>0.17330000000000001</v>
      </c>
      <c r="F44" s="14">
        <f>SQRT(B44^2*Inputs!$D$7^2+C44^2*Inputs!$D$12^2+2*B44*C44*Inputs!$D$7*Inputs!$D$12*0.5)</f>
        <v>0.15091683140060952</v>
      </c>
      <c r="G44" s="14">
        <f>SQRT(B44^2*Inputs!$D$7^2+C44^2*Inputs!$D$12^2+2*B44*C44*Inputs!$D$7*Inputs!$D$12*0)</f>
        <v>0.12457483694550839</v>
      </c>
      <c r="H44" s="14">
        <f>SQRT(B44^2*Inputs!$D$7^2+C44^2*Inputs!$D$12^2+2*B44*C44*Inputs!$D$7*Inputs!$D$12*-0.5)</f>
        <v>9.0894939353079504E-2</v>
      </c>
      <c r="I44" s="14">
        <f>SQRT(B44^2*Inputs!$D$7^2+C44^2*Inputs!$D$12^2+2*B44*C44*Inputs!$D$7*Inputs!$D$12*-1)</f>
        <v>3.170000000000002E-2</v>
      </c>
    </row>
    <row r="45" spans="1:9" x14ac:dyDescent="0.25">
      <c r="A45" s="8">
        <v>43</v>
      </c>
      <c r="B45" s="9">
        <f t="shared" si="2"/>
        <v>0.42</v>
      </c>
      <c r="C45" s="9">
        <f t="shared" si="3"/>
        <v>0.58000000000000007</v>
      </c>
      <c r="D45" s="10">
        <f>B45*Inputs!$D$6+C45*Inputs!$D$11</f>
        <v>0.1094</v>
      </c>
      <c r="E45" s="9">
        <f>SQRT(B45^2*Inputs!$D$7^2+C45^2*Inputs!$D$12^2+2*B45*C45*Inputs!$D$7*Inputs!$D$12*1)</f>
        <v>0.17460000000000001</v>
      </c>
      <c r="F45" s="9">
        <f>SQRT(B45^2*Inputs!$D$7^2+C45^2*Inputs!$D$12^2+2*B45*C45*Inputs!$D$7*Inputs!$D$12*0.5)</f>
        <v>0.15224046768188806</v>
      </c>
      <c r="G45" s="9">
        <f>SQRT(B45^2*Inputs!$D$7^2+C45^2*Inputs!$D$12^2+2*B45*C45*Inputs!$D$7*Inputs!$D$12*0)</f>
        <v>0.12597285421867682</v>
      </c>
      <c r="H45" s="9">
        <f>SQRT(B45^2*Inputs!$D$7^2+C45^2*Inputs!$D$12^2+2*B45*C45*Inputs!$D$7*Inputs!$D$12*-0.5)</f>
        <v>9.2526536734063483E-2</v>
      </c>
      <c r="I45" s="9">
        <f>SQRT(B45^2*Inputs!$D$7^2+C45^2*Inputs!$D$12^2+2*B45*C45*Inputs!$D$7*Inputs!$D$12*-1)</f>
        <v>3.5399999999999994E-2</v>
      </c>
    </row>
    <row r="46" spans="1:9" x14ac:dyDescent="0.25">
      <c r="A46" s="8">
        <v>44</v>
      </c>
      <c r="B46" s="14">
        <f t="shared" si="2"/>
        <v>0.43</v>
      </c>
      <c r="C46" s="14">
        <f t="shared" si="3"/>
        <v>0.57000000000000006</v>
      </c>
      <c r="D46" s="7">
        <f>B46*Inputs!$D$6+C46*Inputs!$D$11</f>
        <v>0.1101</v>
      </c>
      <c r="E46" s="14">
        <f>SQRT(B46^2*Inputs!$D$7^2+C46^2*Inputs!$D$12^2+2*B46*C46*Inputs!$D$7*Inputs!$D$12*1)</f>
        <v>0.1759</v>
      </c>
      <c r="F46" s="14">
        <f>SQRT(B46^2*Inputs!$D$7^2+C46^2*Inputs!$D$12^2+2*B46*C46*Inputs!$D$7*Inputs!$D$12*0.5)</f>
        <v>0.15358323476213151</v>
      </c>
      <c r="G46" s="14">
        <f>SQRT(B46^2*Inputs!$D$7^2+C46^2*Inputs!$D$12^2+2*B46*C46*Inputs!$D$7*Inputs!$D$12*0)</f>
        <v>0.12741589382804641</v>
      </c>
      <c r="H46" s="14">
        <f>SQRT(B46^2*Inputs!$D$7^2+C46^2*Inputs!$D$12^2+2*B46*C46*Inputs!$D$7*Inputs!$D$12*-0.5)</f>
        <v>9.4243355203430648E-2</v>
      </c>
      <c r="I46" s="14">
        <f>SQRT(B46^2*Inputs!$D$7^2+C46^2*Inputs!$D$12^2+2*B46*C46*Inputs!$D$7*Inputs!$D$12*-1)</f>
        <v>3.9099999999999982E-2</v>
      </c>
    </row>
    <row r="47" spans="1:9" x14ac:dyDescent="0.25">
      <c r="A47" s="8">
        <v>45</v>
      </c>
      <c r="B47" s="9">
        <f t="shared" si="2"/>
        <v>0.44</v>
      </c>
      <c r="C47" s="9">
        <f t="shared" si="3"/>
        <v>0.56000000000000005</v>
      </c>
      <c r="D47" s="10">
        <f>B47*Inputs!$D$6+C47*Inputs!$D$11</f>
        <v>0.11080000000000001</v>
      </c>
      <c r="E47" s="9">
        <f>SQRT(B47^2*Inputs!$D$7^2+C47^2*Inputs!$D$12^2+2*B47*C47*Inputs!$D$7*Inputs!$D$12*1)</f>
        <v>0.1772</v>
      </c>
      <c r="F47" s="9">
        <f>SQRT(B47^2*Inputs!$D$7^2+C47^2*Inputs!$D$12^2+2*B47*C47*Inputs!$D$7*Inputs!$D$12*0.5)</f>
        <v>0.15494463527337757</v>
      </c>
      <c r="G47" s="9">
        <f>SQRT(B47^2*Inputs!$D$7^2+C47^2*Inputs!$D$12^2+2*B47*C47*Inputs!$D$7*Inputs!$D$12*0)</f>
        <v>0.12890244373168416</v>
      </c>
      <c r="H47" s="9">
        <f>SQRT(B47^2*Inputs!$D$7^2+C47^2*Inputs!$D$12^2+2*B47*C47*Inputs!$D$7*Inputs!$D$12*-0.5)</f>
        <v>9.6040824652852699E-2</v>
      </c>
      <c r="I47" s="9">
        <f>SQRT(B47^2*Inputs!$D$7^2+C47^2*Inputs!$D$12^2+2*B47*C47*Inputs!$D$7*Inputs!$D$12*-1)</f>
        <v>4.2799999999999977E-2</v>
      </c>
    </row>
    <row r="48" spans="1:9" x14ac:dyDescent="0.25">
      <c r="A48" s="8">
        <v>46</v>
      </c>
      <c r="B48" s="14">
        <f t="shared" si="2"/>
        <v>0.45</v>
      </c>
      <c r="C48" s="14">
        <f t="shared" si="3"/>
        <v>0.55000000000000004</v>
      </c>
      <c r="D48" s="7">
        <f>B48*Inputs!$D$6+C48*Inputs!$D$11</f>
        <v>0.11150000000000002</v>
      </c>
      <c r="E48" s="14">
        <f>SQRT(B48^2*Inputs!$D$7^2+C48^2*Inputs!$D$12^2+2*B48*C48*Inputs!$D$7*Inputs!$D$12*1)</f>
        <v>0.17849999999999999</v>
      </c>
      <c r="F48" s="14">
        <f>SQRT(B48^2*Inputs!$D$7^2+C48^2*Inputs!$D$12^2+2*B48*C48*Inputs!$D$7*Inputs!$D$12*0.5)</f>
        <v>0.15632418239031351</v>
      </c>
      <c r="G48" s="14">
        <f>SQRT(B48^2*Inputs!$D$7^2+C48^2*Inputs!$D$12^2+2*B48*C48*Inputs!$D$7*Inputs!$D$12*0)</f>
        <v>0.13043101624997022</v>
      </c>
      <c r="H48" s="14">
        <f>SQRT(B48^2*Inputs!$D$7^2+C48^2*Inputs!$D$12^2+2*B48*C48*Inputs!$D$7*Inputs!$D$12*-0.5)</f>
        <v>9.7914503522205529E-2</v>
      </c>
      <c r="I48" s="14">
        <f>SQRT(B48^2*Inputs!$D$7^2+C48^2*Inputs!$D$12^2+2*B48*C48*Inputs!$D$7*Inputs!$D$12*-1)</f>
        <v>4.6499999999999993E-2</v>
      </c>
    </row>
    <row r="49" spans="1:9" x14ac:dyDescent="0.25">
      <c r="A49" s="8">
        <v>47</v>
      </c>
      <c r="B49" s="9">
        <f t="shared" si="2"/>
        <v>0.46</v>
      </c>
      <c r="C49" s="9">
        <f t="shared" si="3"/>
        <v>0.54</v>
      </c>
      <c r="D49" s="10">
        <f>B49*Inputs!$D$6+C49*Inputs!$D$11</f>
        <v>0.11220000000000001</v>
      </c>
      <c r="E49" s="9">
        <f>SQRT(B49^2*Inputs!$D$7^2+C49^2*Inputs!$D$12^2+2*B49*C49*Inputs!$D$7*Inputs!$D$12*1)</f>
        <v>0.17980000000000002</v>
      </c>
      <c r="F49" s="9">
        <f>SQRT(B49^2*Inputs!$D$7^2+C49^2*Inputs!$D$12^2+2*B49*C49*Inputs!$D$7*Inputs!$D$12*0.5)</f>
        <v>0.15772139994306417</v>
      </c>
      <c r="G49" s="9">
        <f>SQRT(B49^2*Inputs!$D$7^2+C49^2*Inputs!$D$12^2+2*B49*C49*Inputs!$D$7*Inputs!$D$12*0)</f>
        <v>0.13200015151506456</v>
      </c>
      <c r="H49" s="9">
        <f>SQRT(B49^2*Inputs!$D$7^2+C49^2*Inputs!$D$12^2+2*B49*C49*Inputs!$D$7*Inputs!$D$12*-0.5)</f>
        <v>9.9860102142947965E-2</v>
      </c>
      <c r="I49" s="9">
        <f>SQRT(B49^2*Inputs!$D$7^2+C49^2*Inputs!$D$12^2+2*B49*C49*Inputs!$D$7*Inputs!$D$12*-1)</f>
        <v>5.0199999999999995E-2</v>
      </c>
    </row>
    <row r="50" spans="1:9" x14ac:dyDescent="0.25">
      <c r="A50" s="8">
        <v>48</v>
      </c>
      <c r="B50" s="14">
        <f t="shared" si="2"/>
        <v>0.47000000000000003</v>
      </c>
      <c r="C50" s="14">
        <f t="shared" si="3"/>
        <v>0.53</v>
      </c>
      <c r="D50" s="7">
        <f>B50*Inputs!$D$6+C50*Inputs!$D$11</f>
        <v>0.1129</v>
      </c>
      <c r="E50" s="14">
        <f>SQRT(B50^2*Inputs!$D$7^2+C50^2*Inputs!$D$12^2+2*B50*C50*Inputs!$D$7*Inputs!$D$12*1)</f>
        <v>0.18110000000000001</v>
      </c>
      <c r="F50" s="14">
        <f>SQRT(B50^2*Inputs!$D$7^2+C50^2*Inputs!$D$12^2+2*B50*C50*Inputs!$D$7*Inputs!$D$12*0.5)</f>
        <v>0.15913582249135486</v>
      </c>
      <c r="G50" s="14">
        <f>SQRT(B50^2*Inputs!$D$7^2+C50^2*Inputs!$D$12^2+2*B50*C50*Inputs!$D$7*Inputs!$D$12*0)</f>
        <v>0.13360842039332702</v>
      </c>
      <c r="H50" s="14">
        <f>SQRT(B50^2*Inputs!$D$7^2+C50^2*Inputs!$D$12^2+2*B50*C50*Inputs!$D$7*Inputs!$D$12*-0.5)</f>
        <v>0.10187349998895691</v>
      </c>
      <c r="I50" s="14">
        <f>SQRT(B50^2*Inputs!$D$7^2+C50^2*Inputs!$D$12^2+2*B50*C50*Inputs!$D$7*Inputs!$D$12*-1)</f>
        <v>5.3900000000000017E-2</v>
      </c>
    </row>
    <row r="51" spans="1:9" x14ac:dyDescent="0.25">
      <c r="A51" s="8">
        <v>49</v>
      </c>
      <c r="B51" s="9">
        <f t="shared" si="2"/>
        <v>0.48</v>
      </c>
      <c r="C51" s="9">
        <f t="shared" si="3"/>
        <v>0.52</v>
      </c>
      <c r="D51" s="10">
        <f>B51*Inputs!$D$6+C51*Inputs!$D$11</f>
        <v>0.11360000000000001</v>
      </c>
      <c r="E51" s="9">
        <f>SQRT(B51^2*Inputs!$D$7^2+C51^2*Inputs!$D$12^2+2*B51*C51*Inputs!$D$7*Inputs!$D$12*1)</f>
        <v>0.18239999999999998</v>
      </c>
      <c r="F51" s="9">
        <f>SQRT(B51^2*Inputs!$D$7^2+C51^2*Inputs!$D$12^2+2*B51*C51*Inputs!$D$7*Inputs!$D$12*0.5)</f>
        <v>0.16056699536330621</v>
      </c>
      <c r="G51" s="9">
        <f>SQRT(B51^2*Inputs!$D$7^2+C51^2*Inputs!$D$12^2+2*B51*C51*Inputs!$D$7*Inputs!$D$12*0)</f>
        <v>0.13525442691461156</v>
      </c>
      <c r="H51" s="9">
        <f>SQRT(B51^2*Inputs!$D$7^2+C51^2*Inputs!$D$12^2+2*B51*C51*Inputs!$D$7*Inputs!$D$12*-0.5)</f>
        <v>0.10395075757299704</v>
      </c>
      <c r="I51" s="9">
        <f>SQRT(B51^2*Inputs!$D$7^2+C51^2*Inputs!$D$12^2+2*B51*C51*Inputs!$D$7*Inputs!$D$12*-1)</f>
        <v>5.7600000000000012E-2</v>
      </c>
    </row>
    <row r="52" spans="1:9" x14ac:dyDescent="0.25">
      <c r="A52" s="8">
        <v>50</v>
      </c>
      <c r="B52" s="14">
        <f t="shared" si="2"/>
        <v>0.49</v>
      </c>
      <c r="C52" s="14">
        <f t="shared" si="3"/>
        <v>0.51</v>
      </c>
      <c r="D52" s="7">
        <f>B52*Inputs!$D$6+C52*Inputs!$D$11</f>
        <v>0.1143</v>
      </c>
      <c r="E52" s="14">
        <f>SQRT(B52^2*Inputs!$D$7^2+C52^2*Inputs!$D$12^2+2*B52*C52*Inputs!$D$7*Inputs!$D$12*1)</f>
        <v>0.18369999999999997</v>
      </c>
      <c r="F52" s="14">
        <f>SQRT(B52^2*Inputs!$D$7^2+C52^2*Inputs!$D$12^2+2*B52*C52*Inputs!$D$7*Inputs!$D$12*0.5)</f>
        <v>0.16201447466198815</v>
      </c>
      <c r="G52" s="14">
        <f>SQRT(B52^2*Inputs!$D$7^2+C52^2*Inputs!$D$12^2+2*B52*C52*Inputs!$D$7*Inputs!$D$12*0)</f>
        <v>0.13693681024472565</v>
      </c>
      <c r="H52" s="14">
        <f>SQRT(B52^2*Inputs!$D$7^2+C52^2*Inputs!$D$12^2+2*B52*C52*Inputs!$D$7*Inputs!$D$12*-0.5)</f>
        <v>0.10608812374625162</v>
      </c>
      <c r="I52" s="14">
        <f>SQRT(B52^2*Inputs!$D$7^2+C52^2*Inputs!$D$12^2+2*B52*C52*Inputs!$D$7*Inputs!$D$12*-1)</f>
        <v>6.129999999999998E-2</v>
      </c>
    </row>
    <row r="53" spans="1:9" x14ac:dyDescent="0.25">
      <c r="A53" s="8">
        <v>51</v>
      </c>
      <c r="B53" s="9">
        <f t="shared" si="2"/>
        <v>0.5</v>
      </c>
      <c r="C53" s="9">
        <f t="shared" si="3"/>
        <v>0.5</v>
      </c>
      <c r="D53" s="10">
        <f>B53*Inputs!$D$6+C53*Inputs!$D$11</f>
        <v>0.11499999999999999</v>
      </c>
      <c r="E53" s="9">
        <f>SQRT(B53^2*Inputs!$D$7^2+C53^2*Inputs!$D$12^2+2*B53*C53*Inputs!$D$7*Inputs!$D$12*1)</f>
        <v>0.185</v>
      </c>
      <c r="F53" s="9">
        <f>SQRT(B53^2*Inputs!$D$7^2+C53^2*Inputs!$D$12^2+2*B53*C53*Inputs!$D$7*Inputs!$D$12*0.5)</f>
        <v>0.16347782724271814</v>
      </c>
      <c r="G53" s="9">
        <f>SQRT(B53^2*Inputs!$D$7^2+C53^2*Inputs!$D$12^2+2*B53*C53*Inputs!$D$7*Inputs!$D$12*0)</f>
        <v>0.13865424623862047</v>
      </c>
      <c r="H53" s="9">
        <f>SQRT(B53^2*Inputs!$D$7^2+C53^2*Inputs!$D$12^2+2*B53*C53*Inputs!$D$7*Inputs!$D$12*-0.5)</f>
        <v>0.10828203913853857</v>
      </c>
      <c r="I53" s="9">
        <f>SQRT(B53^2*Inputs!$D$7^2+C53^2*Inputs!$D$12^2+2*B53*C53*Inputs!$D$7*Inputs!$D$12*-1)</f>
        <v>6.5000000000000002E-2</v>
      </c>
    </row>
    <row r="54" spans="1:9" x14ac:dyDescent="0.25">
      <c r="A54" s="8">
        <v>52</v>
      </c>
      <c r="B54" s="14">
        <f t="shared" si="2"/>
        <v>0.51</v>
      </c>
      <c r="C54" s="14">
        <f t="shared" si="3"/>
        <v>0.49</v>
      </c>
      <c r="D54" s="7">
        <f>B54*Inputs!$D$6+C54*Inputs!$D$11</f>
        <v>0.1157</v>
      </c>
      <c r="E54" s="14">
        <f>SQRT(B54^2*Inputs!$D$7^2+C54^2*Inputs!$D$12^2+2*B54*C54*Inputs!$D$7*Inputs!$D$12*1)</f>
        <v>0.18629999999999999</v>
      </c>
      <c r="F54" s="14">
        <f>SQRT(B54^2*Inputs!$D$7^2+C54^2*Inputs!$D$12^2+2*B54*C54*Inputs!$D$7*Inputs!$D$12*0.5)</f>
        <v>0.16495663066394148</v>
      </c>
      <c r="G54" s="14">
        <f>SQRT(B54^2*Inputs!$D$7^2+C54^2*Inputs!$D$12^2+2*B54*C54*Inputs!$D$7*Inputs!$D$12*0)</f>
        <v>0.14040544861222445</v>
      </c>
      <c r="H54" s="14">
        <f>SQRT(B54^2*Inputs!$D$7^2+C54^2*Inputs!$D$12^2+2*B54*C54*Inputs!$D$7*Inputs!$D$12*-0.5)</f>
        <v>0.11052913643017391</v>
      </c>
      <c r="I54" s="14">
        <f>SQRT(B54^2*Inputs!$D$7^2+C54^2*Inputs!$D$12^2+2*B54*C54*Inputs!$D$7*Inputs!$D$12*-1)</f>
        <v>6.8699999999999983E-2</v>
      </c>
    </row>
    <row r="55" spans="1:9" x14ac:dyDescent="0.25">
      <c r="A55" s="8">
        <v>53</v>
      </c>
      <c r="B55" s="9">
        <f t="shared" si="2"/>
        <v>0.52</v>
      </c>
      <c r="C55" s="9">
        <f t="shared" si="3"/>
        <v>0.48</v>
      </c>
      <c r="D55" s="10">
        <f>B55*Inputs!$D$6+C55*Inputs!$D$11</f>
        <v>0.1164</v>
      </c>
      <c r="E55" s="9">
        <f>SQRT(B55^2*Inputs!$D$7^2+C55^2*Inputs!$D$12^2+2*B55*C55*Inputs!$D$7*Inputs!$D$12*1)</f>
        <v>0.18759999999999999</v>
      </c>
      <c r="F55" s="9">
        <f>SQRT(B55^2*Inputs!$D$7^2+C55^2*Inputs!$D$12^2+2*B55*C55*Inputs!$D$7*Inputs!$D$12*0.5)</f>
        <v>0.16645047311437719</v>
      </c>
      <c r="G55" s="9">
        <f>SQRT(B55^2*Inputs!$D$7^2+C55^2*Inputs!$D$12^2+2*B55*C55*Inputs!$D$7*Inputs!$D$12*0)</f>
        <v>0.14218916977041535</v>
      </c>
      <c r="H55" s="9">
        <f>SQRT(B55^2*Inputs!$D$7^2+C55^2*Inputs!$D$12^2+2*B55*C55*Inputs!$D$7*Inputs!$D$12*-0.5)</f>
        <v>0.1128262380831693</v>
      </c>
      <c r="I55" s="9">
        <f>SQRT(B55^2*Inputs!$D$7^2+C55^2*Inputs!$D$12^2+2*B55*C55*Inputs!$D$7*Inputs!$D$12*-1)</f>
        <v>7.240000000000002E-2</v>
      </c>
    </row>
    <row r="56" spans="1:9" x14ac:dyDescent="0.25">
      <c r="A56" s="8">
        <v>54</v>
      </c>
      <c r="B56" s="14">
        <f t="shared" si="2"/>
        <v>0.53</v>
      </c>
      <c r="C56" s="14">
        <f t="shared" si="3"/>
        <v>0.47</v>
      </c>
      <c r="D56" s="7">
        <f>B56*Inputs!$D$6+C56*Inputs!$D$11</f>
        <v>0.11710000000000001</v>
      </c>
      <c r="E56" s="14">
        <f>SQRT(B56^2*Inputs!$D$7^2+C56^2*Inputs!$D$12^2+2*B56*C56*Inputs!$D$7*Inputs!$D$12*1)</f>
        <v>0.18890000000000001</v>
      </c>
      <c r="F56" s="14">
        <f>SQRT(B56^2*Inputs!$D$7^2+C56^2*Inputs!$D$12^2+2*B56*C56*Inputs!$D$7*Inputs!$D$12*0.5)</f>
        <v>0.16795895331895827</v>
      </c>
      <c r="G56" s="14">
        <f>SQRT(B56^2*Inputs!$D$7^2+C56^2*Inputs!$D$12^2+2*B56*C56*Inputs!$D$7*Inputs!$D$12*0)</f>
        <v>0.14400420132760017</v>
      </c>
      <c r="H56" s="14">
        <f>SQRT(B56^2*Inputs!$D$7^2+C56^2*Inputs!$D$12^2+2*B56*C56*Inputs!$D$7*Inputs!$D$12*-0.5)</f>
        <v>0.11517035208767924</v>
      </c>
      <c r="I56" s="14">
        <f>SQRT(B56^2*Inputs!$D$7^2+C56^2*Inputs!$D$12^2+2*B56*C56*Inputs!$D$7*Inputs!$D$12*-1)</f>
        <v>7.6100000000000015E-2</v>
      </c>
    </row>
    <row r="57" spans="1:9" x14ac:dyDescent="0.25">
      <c r="A57" s="8">
        <v>55</v>
      </c>
      <c r="B57" s="9">
        <f t="shared" si="2"/>
        <v>0.54</v>
      </c>
      <c r="C57" s="9">
        <f t="shared" si="3"/>
        <v>0.45999999999999996</v>
      </c>
      <c r="D57" s="10">
        <f>B57*Inputs!$D$6+C57*Inputs!$D$11</f>
        <v>0.1178</v>
      </c>
      <c r="E57" s="9">
        <f>SQRT(B57^2*Inputs!$D$7^2+C57^2*Inputs!$D$12^2+2*B57*C57*Inputs!$D$7*Inputs!$D$12*1)</f>
        <v>0.19020000000000001</v>
      </c>
      <c r="F57" s="9">
        <f>SQRT(B57^2*Inputs!$D$7^2+C57^2*Inputs!$D$12^2+2*B57*C57*Inputs!$D$7*Inputs!$D$12*0.5)</f>
        <v>0.16948168042593867</v>
      </c>
      <c r="G57" s="9">
        <f>SQRT(B57^2*Inputs!$D$7^2+C57^2*Inputs!$D$12^2+2*B57*C57*Inputs!$D$7*Inputs!$D$12*0)</f>
        <v>0.14584937435587442</v>
      </c>
      <c r="H57" s="9">
        <f>SQRT(B57^2*Inputs!$D$7^2+C57^2*Inputs!$D$12^2+2*B57*C57*Inputs!$D$7*Inputs!$D$12*-0.5)</f>
        <v>0.11755866620543123</v>
      </c>
      <c r="I57" s="9">
        <f>SQRT(B57^2*Inputs!$D$7^2+C57^2*Inputs!$D$12^2+2*B57*C57*Inputs!$D$7*Inputs!$D$12*-1)</f>
        <v>7.9799999999999996E-2</v>
      </c>
    </row>
    <row r="58" spans="1:9" x14ac:dyDescent="0.25">
      <c r="A58" s="8">
        <v>56</v>
      </c>
      <c r="B58" s="14">
        <f t="shared" si="2"/>
        <v>0.55000000000000004</v>
      </c>
      <c r="C58" s="14">
        <f t="shared" si="3"/>
        <v>0.44999999999999996</v>
      </c>
      <c r="D58" s="7">
        <f>B58*Inputs!$D$6+C58*Inputs!$D$11</f>
        <v>0.11849999999999999</v>
      </c>
      <c r="E58" s="14">
        <f>SQRT(B58^2*Inputs!$D$7^2+C58^2*Inputs!$D$12^2+2*B58*C58*Inputs!$D$7*Inputs!$D$12*1)</f>
        <v>0.1915</v>
      </c>
      <c r="F58" s="14">
        <f>SQRT(B58^2*Inputs!$D$7^2+C58^2*Inputs!$D$12^2+2*B58*C58*Inputs!$D$7*Inputs!$D$12*0.5)</f>
        <v>0.17101827387738425</v>
      </c>
      <c r="G58" s="14">
        <f>SQRT(B58^2*Inputs!$D$7^2+C58^2*Inputs!$D$12^2+2*B58*C58*Inputs!$D$7*Inputs!$D$12*0)</f>
        <v>0.14772355939388951</v>
      </c>
      <c r="H58" s="14">
        <f>SQRT(B58^2*Inputs!$D$7^2+C58^2*Inputs!$D$12^2+2*B58*C58*Inputs!$D$7*Inputs!$D$12*-0.5)</f>
        <v>0.11998854111955859</v>
      </c>
      <c r="I58" s="14">
        <f>SQRT(B58^2*Inputs!$D$7^2+C58^2*Inputs!$D$12^2+2*B58*C58*Inputs!$D$7*Inputs!$D$12*-1)</f>
        <v>8.3500000000000019E-2</v>
      </c>
    </row>
    <row r="59" spans="1:9" x14ac:dyDescent="0.25">
      <c r="A59" s="8">
        <v>57</v>
      </c>
      <c r="B59" s="9">
        <f t="shared" si="2"/>
        <v>0.56000000000000005</v>
      </c>
      <c r="C59" s="9">
        <f t="shared" si="3"/>
        <v>0.43999999999999995</v>
      </c>
      <c r="D59" s="10">
        <f>B59*Inputs!$D$6+C59*Inputs!$D$11</f>
        <v>0.1192</v>
      </c>
      <c r="E59" s="9">
        <f>SQRT(B59^2*Inputs!$D$7^2+C59^2*Inputs!$D$12^2+2*B59*C59*Inputs!$D$7*Inputs!$D$12*1)</f>
        <v>0.1928</v>
      </c>
      <c r="F59" s="9">
        <f>SQRT(B59^2*Inputs!$D$7^2+C59^2*Inputs!$D$12^2+2*B59*C59*Inputs!$D$7*Inputs!$D$12*0.5)</f>
        <v>0.17256836326511299</v>
      </c>
      <c r="G59" s="9">
        <f>SQRT(B59^2*Inputs!$D$7^2+C59^2*Inputs!$D$12^2+2*B59*C59*Inputs!$D$7*Inputs!$D$12*0)</f>
        <v>0.14962566624747239</v>
      </c>
      <c r="H59" s="9">
        <f>SQRT(B59^2*Inputs!$D$7^2+C59^2*Inputs!$D$12^2+2*B59*C59*Inputs!$D$7*Inputs!$D$12*-0.5)</f>
        <v>0.12245750283261538</v>
      </c>
      <c r="I59" s="9">
        <f>SQRT(B59^2*Inputs!$D$7^2+C59^2*Inputs!$D$12^2+2*B59*C59*Inputs!$D$7*Inputs!$D$12*-1)</f>
        <v>8.7200000000000027E-2</v>
      </c>
    </row>
    <row r="60" spans="1:9" x14ac:dyDescent="0.25">
      <c r="A60" s="8">
        <v>58</v>
      </c>
      <c r="B60" s="14">
        <f t="shared" si="2"/>
        <v>0.57000000000000006</v>
      </c>
      <c r="C60" s="14">
        <f t="shared" si="3"/>
        <v>0.42999999999999994</v>
      </c>
      <c r="D60" s="7">
        <f>B60*Inputs!$D$6+C60*Inputs!$D$11</f>
        <v>0.11990000000000001</v>
      </c>
      <c r="E60" s="14">
        <f>SQRT(B60^2*Inputs!$D$7^2+C60^2*Inputs!$D$12^2+2*B60*C60*Inputs!$D$7*Inputs!$D$12*1)</f>
        <v>0.19409999999999999</v>
      </c>
      <c r="F60" s="14">
        <f>SQRT(B60^2*Inputs!$D$7^2+C60^2*Inputs!$D$12^2+2*B60*C60*Inputs!$D$7*Inputs!$D$12*0.5)</f>
        <v>0.17413158817400134</v>
      </c>
      <c r="G60" s="14">
        <f>SQRT(B60^2*Inputs!$D$7^2+C60^2*Inputs!$D$12^2+2*B60*C60*Inputs!$D$7*Inputs!$D$12*0)</f>
        <v>0.15155464361081122</v>
      </c>
      <c r="H60" s="14">
        <f>SQRT(B60^2*Inputs!$D$7^2+C60^2*Inputs!$D$12^2+2*B60*C60*Inputs!$D$7*Inputs!$D$12*-0.5)</f>
        <v>0.12496323459321948</v>
      </c>
      <c r="I60" s="14">
        <f>SQRT(B60^2*Inputs!$D$7^2+C60^2*Inputs!$D$12^2+2*B60*C60*Inputs!$D$7*Inputs!$D$12*-1)</f>
        <v>9.0900000000000022E-2</v>
      </c>
    </row>
    <row r="61" spans="1:9" x14ac:dyDescent="0.25">
      <c r="A61" s="8">
        <v>59</v>
      </c>
      <c r="B61" s="9">
        <f t="shared" si="2"/>
        <v>0.57999999999999996</v>
      </c>
      <c r="C61" s="9">
        <f t="shared" si="3"/>
        <v>0.42000000000000004</v>
      </c>
      <c r="D61" s="10">
        <f>B61*Inputs!$D$6+C61*Inputs!$D$11</f>
        <v>0.1206</v>
      </c>
      <c r="E61" s="9">
        <f>SQRT(B61^2*Inputs!$D$7^2+C61^2*Inputs!$D$12^2+2*B61*C61*Inputs!$D$7*Inputs!$D$12*1)</f>
        <v>0.19539999999999999</v>
      </c>
      <c r="F61" s="9">
        <f>SQRT(B61^2*Inputs!$D$7^2+C61^2*Inputs!$D$12^2+2*B61*C61*Inputs!$D$7*Inputs!$D$12*0.5)</f>
        <v>0.17570759801442851</v>
      </c>
      <c r="G61" s="9">
        <f>SQRT(B61^2*Inputs!$D$7^2+C61^2*Inputs!$D$12^2+2*B61*C61*Inputs!$D$7*Inputs!$D$12*0)</f>
        <v>0.15350947853471458</v>
      </c>
      <c r="H61" s="9">
        <f>SQRT(B61^2*Inputs!$D$7^2+C61^2*Inputs!$D$12^2+2*B61*C61*Inputs!$D$7*Inputs!$D$12*-0.5)</f>
        <v>0.1275035685775108</v>
      </c>
      <c r="I61" s="9">
        <f>SQRT(B61^2*Inputs!$D$7^2+C61^2*Inputs!$D$12^2+2*B61*C61*Inputs!$D$7*Inputs!$D$12*-1)</f>
        <v>9.459999999999999E-2</v>
      </c>
    </row>
    <row r="62" spans="1:9" x14ac:dyDescent="0.25">
      <c r="A62" s="8">
        <v>60</v>
      </c>
      <c r="B62" s="14">
        <f t="shared" si="2"/>
        <v>0.59</v>
      </c>
      <c r="C62" s="14">
        <f t="shared" si="3"/>
        <v>0.41000000000000003</v>
      </c>
      <c r="D62" s="7">
        <f>B62*Inputs!$D$6+C62*Inputs!$D$11</f>
        <v>0.12129999999999999</v>
      </c>
      <c r="E62" s="14">
        <f>SQRT(B62^2*Inputs!$D$7^2+C62^2*Inputs!$D$12^2+2*B62*C62*Inputs!$D$7*Inputs!$D$12*1)</f>
        <v>0.19669999999999999</v>
      </c>
      <c r="F62" s="14">
        <f>SQRT(B62^2*Inputs!$D$7^2+C62^2*Inputs!$D$12^2+2*B62*C62*Inputs!$D$7*Inputs!$D$12*0.5)</f>
        <v>0.17729605184549371</v>
      </c>
      <c r="G62" s="14">
        <f>SQRT(B62^2*Inputs!$D$7^2+C62^2*Inputs!$D$12^2+2*B62*C62*Inputs!$D$7*Inputs!$D$12*0)</f>
        <v>0.15548919576613676</v>
      </c>
      <c r="H62" s="14">
        <f>SQRT(B62^2*Inputs!$D$7^2+C62^2*Inputs!$D$12^2+2*B62*C62*Inputs!$D$7*Inputs!$D$12*-0.5)</f>
        <v>0.1300764775045819</v>
      </c>
      <c r="I62" s="14">
        <f>SQRT(B62^2*Inputs!$D$7^2+C62^2*Inputs!$D$12^2+2*B62*C62*Inputs!$D$7*Inputs!$D$12*-1)</f>
        <v>9.8299999999999998E-2</v>
      </c>
    </row>
    <row r="63" spans="1:9" x14ac:dyDescent="0.25">
      <c r="A63" s="8">
        <v>61</v>
      </c>
      <c r="B63" s="9">
        <f t="shared" si="2"/>
        <v>0.6</v>
      </c>
      <c r="C63" s="9">
        <f t="shared" si="3"/>
        <v>0.4</v>
      </c>
      <c r="D63" s="10">
        <f>B63*Inputs!$D$6+C63*Inputs!$D$11</f>
        <v>0.122</v>
      </c>
      <c r="E63" s="9">
        <f>SQRT(B63^2*Inputs!$D$7^2+C63^2*Inputs!$D$12^2+2*B63*C63*Inputs!$D$7*Inputs!$D$12*1)</f>
        <v>0.19800000000000001</v>
      </c>
      <c r="F63" s="9">
        <f>SQRT(B63^2*Inputs!$D$7^2+C63^2*Inputs!$D$12^2+2*B63*C63*Inputs!$D$7*Inputs!$D$12*0.5)</f>
        <v>0.1788966181905069</v>
      </c>
      <c r="G63" s="9">
        <f>SQRT(B63^2*Inputs!$D$7^2+C63^2*Inputs!$D$12^2+2*B63*C63*Inputs!$D$7*Inputs!$D$12*0)</f>
        <v>0.15749285698088025</v>
      </c>
      <c r="H63" s="9">
        <f>SQRT(B63^2*Inputs!$D$7^2+C63^2*Inputs!$D$12^2+2*B63*C63*Inputs!$D$7*Inputs!$D$12*-0.5)</f>
        <v>0.13268006632497589</v>
      </c>
      <c r="I63" s="9">
        <f>SQRT(B63^2*Inputs!$D$7^2+C63^2*Inputs!$D$12^2+2*B63*C63*Inputs!$D$7*Inputs!$D$12*-1)</f>
        <v>0.10199999999999999</v>
      </c>
    </row>
    <row r="64" spans="1:9" x14ac:dyDescent="0.25">
      <c r="A64" s="8">
        <v>62</v>
      </c>
      <c r="B64" s="14">
        <f t="shared" si="2"/>
        <v>0.61</v>
      </c>
      <c r="C64" s="14">
        <f t="shared" si="3"/>
        <v>0.39</v>
      </c>
      <c r="D64" s="7">
        <f>B64*Inputs!$D$6+C64*Inputs!$D$11</f>
        <v>0.1227</v>
      </c>
      <c r="E64" s="14">
        <f>SQRT(B64^2*Inputs!$D$7^2+C64^2*Inputs!$D$12^2+2*B64*C64*Inputs!$D$7*Inputs!$D$12*1)</f>
        <v>0.1993</v>
      </c>
      <c r="F64" s="14">
        <f>SQRT(B64^2*Inputs!$D$7^2+C64^2*Inputs!$D$12^2+2*B64*C64*Inputs!$D$7*Inputs!$D$12*0.5)</f>
        <v>0.1805089748461278</v>
      </c>
      <c r="G64" s="14">
        <f>SQRT(B64^2*Inputs!$D$7^2+C64^2*Inputs!$D$12^2+2*B64*C64*Inputs!$D$7*Inputs!$D$12*0)</f>
        <v>0.15951955992918235</v>
      </c>
      <c r="H64" s="14">
        <f>SQRT(B64^2*Inputs!$D$7^2+C64^2*Inputs!$D$12^2+2*B64*C64*Inputs!$D$7*Inputs!$D$12*-0.5)</f>
        <v>0.13531256408774464</v>
      </c>
      <c r="I64" s="14">
        <f>SQRT(B64^2*Inputs!$D$7^2+C64^2*Inputs!$D$12^2+2*B64*C64*Inputs!$D$7*Inputs!$D$12*-1)</f>
        <v>0.10569999999999999</v>
      </c>
    </row>
    <row r="65" spans="1:9" x14ac:dyDescent="0.25">
      <c r="A65" s="8">
        <v>63</v>
      </c>
      <c r="B65" s="9">
        <f t="shared" si="2"/>
        <v>0.62</v>
      </c>
      <c r="C65" s="9">
        <f t="shared" si="3"/>
        <v>0.38</v>
      </c>
      <c r="D65" s="10">
        <f>B65*Inputs!$D$6+C65*Inputs!$D$11</f>
        <v>0.1234</v>
      </c>
      <c r="E65" s="9">
        <f>SQRT(B65^2*Inputs!$D$7^2+C65^2*Inputs!$D$12^2+2*B65*C65*Inputs!$D$7*Inputs!$D$12*1)</f>
        <v>0.2006</v>
      </c>
      <c r="F65" s="9">
        <f>SQRT(B65^2*Inputs!$D$7^2+C65^2*Inputs!$D$12^2+2*B65*C65*Inputs!$D$7*Inputs!$D$12*0.5)</f>
        <v>0.18213280868640883</v>
      </c>
      <c r="G65" s="9">
        <f>SQRT(B65^2*Inputs!$D$7^2+C65^2*Inputs!$D$12^2+2*B65*C65*Inputs!$D$7*Inputs!$D$12*0)</f>
        <v>0.16156843751178632</v>
      </c>
      <c r="H65" s="9">
        <f>SQRT(B65^2*Inputs!$D$7^2+C65^2*Inputs!$D$12^2+2*B65*C65*Inputs!$D$7*Inputs!$D$12*-0.5)</f>
        <v>0.13797231606376695</v>
      </c>
      <c r="I65" s="9">
        <f>SQRT(B65^2*Inputs!$D$7^2+C65^2*Inputs!$D$12^2+2*B65*C65*Inputs!$D$7*Inputs!$D$12*-1)</f>
        <v>0.1094</v>
      </c>
    </row>
    <row r="66" spans="1:9" x14ac:dyDescent="0.25">
      <c r="A66" s="8">
        <v>64</v>
      </c>
      <c r="B66" s="14">
        <f t="shared" si="2"/>
        <v>0.63</v>
      </c>
      <c r="C66" s="14">
        <f t="shared" si="3"/>
        <v>0.37</v>
      </c>
      <c r="D66" s="7">
        <f>B66*Inputs!$D$6+C66*Inputs!$D$11</f>
        <v>0.1241</v>
      </c>
      <c r="E66" s="14">
        <f>SQRT(B66^2*Inputs!$D$7^2+C66^2*Inputs!$D$12^2+2*B66*C66*Inputs!$D$7*Inputs!$D$12*1)</f>
        <v>0.2019</v>
      </c>
      <c r="F66" s="14">
        <f>SQRT(B66^2*Inputs!$D$7^2+C66^2*Inputs!$D$12^2+2*B66*C66*Inputs!$D$7*Inputs!$D$12*0.5)</f>
        <v>0.1837678154628824</v>
      </c>
      <c r="G66" s="14">
        <f>SQRT(B66^2*Inputs!$D$7^2+C66^2*Inputs!$D$12^2+2*B66*C66*Inputs!$D$7*Inputs!$D$12*0)</f>
        <v>0.16363865680211384</v>
      </c>
      <c r="H66" s="14">
        <f>SQRT(B66^2*Inputs!$D$7^2+C66^2*Inputs!$D$12^2+2*B66*C66*Inputs!$D$7*Inputs!$D$12*-0.5)</f>
        <v>0.14065777618034489</v>
      </c>
      <c r="I66" s="14">
        <f>SQRT(B66^2*Inputs!$D$7^2+C66^2*Inputs!$D$12^2+2*B66*C66*Inputs!$D$7*Inputs!$D$12*-1)</f>
        <v>0.11310000000000001</v>
      </c>
    </row>
    <row r="67" spans="1:9" x14ac:dyDescent="0.25">
      <c r="A67" s="8">
        <v>65</v>
      </c>
      <c r="B67" s="9">
        <f t="shared" ref="B67:B103" si="4">(ROW()-3)*0.01</f>
        <v>0.64</v>
      </c>
      <c r="C67" s="9">
        <f t="shared" ref="C67:C98" si="5">1-B67</f>
        <v>0.36</v>
      </c>
      <c r="D67" s="10">
        <f>B67*Inputs!$D$6+C67*Inputs!$D$11</f>
        <v>0.12479999999999999</v>
      </c>
      <c r="E67" s="9">
        <f>SQRT(B67^2*Inputs!$D$7^2+C67^2*Inputs!$D$12^2+2*B67*C67*Inputs!$D$7*Inputs!$D$12*1)</f>
        <v>0.20320000000000002</v>
      </c>
      <c r="F67" s="9">
        <f>SQRT(B67^2*Inputs!$D$7^2+C67^2*Inputs!$D$12^2+2*B67*C67*Inputs!$D$7*Inputs!$D$12*0.5)</f>
        <v>0.18541369960172846</v>
      </c>
      <c r="G67" s="9">
        <f>SQRT(B67^2*Inputs!$D$7^2+C67^2*Inputs!$D$12^2+2*B67*C67*Inputs!$D$7*Inputs!$D$12*0)</f>
        <v>0.16572941802830299</v>
      </c>
      <c r="H67" s="9">
        <f>SQRT(B67^2*Inputs!$D$7^2+C67^2*Inputs!$D$12^2+2*B67*C67*Inputs!$D$7*Inputs!$D$12*-0.5)</f>
        <v>0.14336749980382585</v>
      </c>
      <c r="I67" s="9">
        <f>SQRT(B67^2*Inputs!$D$7^2+C67^2*Inputs!$D$12^2+2*B67*C67*Inputs!$D$7*Inputs!$D$12*-1)</f>
        <v>0.11680000000000001</v>
      </c>
    </row>
    <row r="68" spans="1:9" x14ac:dyDescent="0.25">
      <c r="A68" s="8">
        <v>66</v>
      </c>
      <c r="B68" s="14">
        <f t="shared" si="4"/>
        <v>0.65</v>
      </c>
      <c r="C68" s="14">
        <f t="shared" si="5"/>
        <v>0.35</v>
      </c>
      <c r="D68" s="7">
        <f>B68*Inputs!$D$6+C68*Inputs!$D$11</f>
        <v>0.1255</v>
      </c>
      <c r="E68" s="14">
        <f>SQRT(B68^2*Inputs!$D$7^2+C68^2*Inputs!$D$12^2+2*B68*C68*Inputs!$D$7*Inputs!$D$12*1)</f>
        <v>0.20450000000000002</v>
      </c>
      <c r="F68" s="14">
        <f>SQRT(B68^2*Inputs!$D$7^2+C68^2*Inputs!$D$12^2+2*B68*C68*Inputs!$D$7*Inputs!$D$12*0.5)</f>
        <v>0.18707017399895687</v>
      </c>
      <c r="G68" s="14">
        <f>SQRT(B68^2*Inputs!$D$7^2+C68^2*Inputs!$D$12^2+2*B68*C68*Inputs!$D$7*Inputs!$D$12*0)</f>
        <v>0.1678399535271623</v>
      </c>
      <c r="H68" s="14">
        <f>SQRT(B68^2*Inputs!$D$7^2+C68^2*Inputs!$D$12^2+2*B68*C68*Inputs!$D$7*Inputs!$D$12*-0.5)</f>
        <v>0.14610013689247522</v>
      </c>
      <c r="I68" s="14">
        <f>SQRT(B68^2*Inputs!$D$7^2+C68^2*Inputs!$D$12^2+2*B68*C68*Inputs!$D$7*Inputs!$D$12*-1)</f>
        <v>0.12050000000000001</v>
      </c>
    </row>
    <row r="69" spans="1:9" x14ac:dyDescent="0.25">
      <c r="A69" s="8">
        <v>67</v>
      </c>
      <c r="B69" s="9">
        <f t="shared" si="4"/>
        <v>0.66</v>
      </c>
      <c r="C69" s="9">
        <f t="shared" si="5"/>
        <v>0.33999999999999997</v>
      </c>
      <c r="D69" s="10">
        <f>B69*Inputs!$D$6+C69*Inputs!$D$11</f>
        <v>0.12620000000000001</v>
      </c>
      <c r="E69" s="9">
        <f>SQRT(B69^2*Inputs!$D$7^2+C69^2*Inputs!$D$12^2+2*B69*C69*Inputs!$D$7*Inputs!$D$12*1)</f>
        <v>0.20579999999999998</v>
      </c>
      <c r="F69" s="9">
        <f>SQRT(B69^2*Inputs!$D$7^2+C69^2*Inputs!$D$12^2+2*B69*C69*Inputs!$D$7*Inputs!$D$12*0.5)</f>
        <v>0.18873695981444652</v>
      </c>
      <c r="G69" s="9">
        <f>SQRT(B69^2*Inputs!$D$7^2+C69^2*Inputs!$D$12^2+2*B69*C69*Inputs!$D$7*Inputs!$D$12*0)</f>
        <v>0.16996952668052001</v>
      </c>
      <c r="H69" s="9">
        <f>SQRT(B69^2*Inputs!$D$7^2+C69^2*Inputs!$D$12^2+2*B69*C69*Inputs!$D$7*Inputs!$D$12*-0.5)</f>
        <v>0.14885442553044906</v>
      </c>
      <c r="I69" s="9">
        <f>SQRT(B69^2*Inputs!$D$7^2+C69^2*Inputs!$D$12^2+2*B69*C69*Inputs!$D$7*Inputs!$D$12*-1)</f>
        <v>0.1242</v>
      </c>
    </row>
    <row r="70" spans="1:9" x14ac:dyDescent="0.25">
      <c r="A70" s="8">
        <v>68</v>
      </c>
      <c r="B70" s="14">
        <f t="shared" si="4"/>
        <v>0.67</v>
      </c>
      <c r="C70" s="14">
        <f t="shared" si="5"/>
        <v>0.32999999999999996</v>
      </c>
      <c r="D70" s="7">
        <f>B70*Inputs!$D$6+C70*Inputs!$D$11</f>
        <v>0.12690000000000001</v>
      </c>
      <c r="E70" s="14">
        <f>SQRT(B70^2*Inputs!$D$7^2+C70^2*Inputs!$D$12^2+2*B70*C70*Inputs!$D$7*Inputs!$D$12*1)</f>
        <v>0.20710000000000001</v>
      </c>
      <c r="F70" s="14">
        <f>SQRT(B70^2*Inputs!$D$7^2+C70^2*Inputs!$D$12^2+2*B70*C70*Inputs!$D$7*Inputs!$D$12*0.5)</f>
        <v>0.1904137862655958</v>
      </c>
      <c r="G70" s="14">
        <f>SQRT(B70^2*Inputs!$D$7^2+C70^2*Inputs!$D$12^2+2*B70*C70*Inputs!$D$7*Inputs!$D$12*0)</f>
        <v>0.17211743084301487</v>
      </c>
      <c r="H70" s="14">
        <f>SQRT(B70^2*Inputs!$D$7^2+C70^2*Inputs!$D$12^2+2*B70*C70*Inputs!$D$7*Inputs!$D$12*-0.5)</f>
        <v>0.15162918584494214</v>
      </c>
      <c r="I70" s="14">
        <f>SQRT(B70^2*Inputs!$D$7^2+C70^2*Inputs!$D$12^2+2*B70*C70*Inputs!$D$7*Inputs!$D$12*-1)</f>
        <v>0.12790000000000001</v>
      </c>
    </row>
    <row r="71" spans="1:9" x14ac:dyDescent="0.25">
      <c r="A71" s="8">
        <v>69</v>
      </c>
      <c r="B71" s="9">
        <f t="shared" si="4"/>
        <v>0.68</v>
      </c>
      <c r="C71" s="9">
        <f t="shared" si="5"/>
        <v>0.31999999999999995</v>
      </c>
      <c r="D71" s="10">
        <f>B71*Inputs!$D$6+C71*Inputs!$D$11</f>
        <v>0.12759999999999999</v>
      </c>
      <c r="E71" s="9">
        <f>SQRT(B71^2*Inputs!$D$7^2+C71^2*Inputs!$D$12^2+2*B71*C71*Inputs!$D$7*Inputs!$D$12*1)</f>
        <v>0.20840000000000003</v>
      </c>
      <c r="F71" s="9">
        <f>SQRT(B71^2*Inputs!$D$7^2+C71^2*Inputs!$D$12^2+2*B71*C71*Inputs!$D$7*Inputs!$D$12*0.5)</f>
        <v>0.19210039042125865</v>
      </c>
      <c r="G71" s="9">
        <f>SQRT(B71^2*Inputs!$D$7^2+C71^2*Inputs!$D$12^2+2*B71*C71*Inputs!$D$7*Inputs!$D$12*0)</f>
        <v>0.17428298826907923</v>
      </c>
      <c r="H71" s="9">
        <f>SQRT(B71^2*Inputs!$D$7^2+C71^2*Inputs!$D$12^2+2*B71*C71*Inputs!$D$7*Inputs!$D$12*-0.5)</f>
        <v>0.1544233143019538</v>
      </c>
      <c r="I71" s="9">
        <f>SQRT(B71^2*Inputs!$D$7^2+C71^2*Inputs!$D$12^2+2*B71*C71*Inputs!$D$7*Inputs!$D$12*-1)</f>
        <v>0.13160000000000002</v>
      </c>
    </row>
    <row r="72" spans="1:9" x14ac:dyDescent="0.25">
      <c r="A72" s="8">
        <v>70</v>
      </c>
      <c r="B72" s="14">
        <f t="shared" si="4"/>
        <v>0.69000000000000006</v>
      </c>
      <c r="C72" s="14">
        <f t="shared" si="5"/>
        <v>0.30999999999999994</v>
      </c>
      <c r="D72" s="7">
        <f>B72*Inputs!$D$6+C72*Inputs!$D$11</f>
        <v>0.1283</v>
      </c>
      <c r="E72" s="14">
        <f>SQRT(B72^2*Inputs!$D$7^2+C72^2*Inputs!$D$12^2+2*B72*C72*Inputs!$D$7*Inputs!$D$12*1)</f>
        <v>0.20970000000000003</v>
      </c>
      <c r="F72" s="14">
        <f>SQRT(B72^2*Inputs!$D$7^2+C72^2*Inputs!$D$12^2+2*B72*C72*Inputs!$D$7*Inputs!$D$12*0.5)</f>
        <v>0.19379651699656525</v>
      </c>
      <c r="G72" s="14">
        <f>SQRT(B72^2*Inputs!$D$7^2+C72^2*Inputs!$D$12^2+2*B72*C72*Inputs!$D$7*Inputs!$D$12*0)</f>
        <v>0.17646554904569903</v>
      </c>
      <c r="H72" s="14">
        <f>SQRT(B72^2*Inputs!$D$7^2+C72^2*Inputs!$D$12^2+2*B72*C72*Inputs!$D$7*Inputs!$D$12*-0.5)</f>
        <v>0.15723577837120917</v>
      </c>
      <c r="I72" s="14">
        <f>SQRT(B72^2*Inputs!$D$7^2+C72^2*Inputs!$D$12^2+2*B72*C72*Inputs!$D$7*Inputs!$D$12*-1)</f>
        <v>0.13530000000000003</v>
      </c>
    </row>
    <row r="73" spans="1:9" x14ac:dyDescent="0.25">
      <c r="A73" s="8">
        <v>71</v>
      </c>
      <c r="B73" s="9">
        <f t="shared" si="4"/>
        <v>0.70000000000000007</v>
      </c>
      <c r="C73" s="9">
        <f t="shared" si="5"/>
        <v>0.29999999999999993</v>
      </c>
      <c r="D73" s="10">
        <f>B73*Inputs!$D$6+C73*Inputs!$D$11</f>
        <v>0.129</v>
      </c>
      <c r="E73" s="9">
        <f>SQRT(B73^2*Inputs!$D$7^2+C73^2*Inputs!$D$12^2+2*B73*C73*Inputs!$D$7*Inputs!$D$12*1)</f>
        <v>0.21100000000000002</v>
      </c>
      <c r="F73" s="9">
        <f>SQRT(B73^2*Inputs!$D$7^2+C73^2*Inputs!$D$12^2+2*B73*C73*Inputs!$D$7*Inputs!$D$12*0.5)</f>
        <v>0.19550191814915782</v>
      </c>
      <c r="G73" s="9">
        <f>SQRT(B73^2*Inputs!$D$7^2+C73^2*Inputs!$D$12^2+2*B73*C73*Inputs!$D$7*Inputs!$D$12*0)</f>
        <v>0.17866449003649271</v>
      </c>
      <c r="H73" s="9">
        <f>SQRT(B73^2*Inputs!$D$7^2+C73^2*Inputs!$D$12^2+2*B73*C73*Inputs!$D$7*Inputs!$D$12*-0.5)</f>
        <v>0.16006561154726523</v>
      </c>
      <c r="I73" s="9">
        <f>SQRT(B73^2*Inputs!$D$7^2+C73^2*Inputs!$D$12^2+2*B73*C73*Inputs!$D$7*Inputs!$D$12*-1)</f>
        <v>0.13900000000000004</v>
      </c>
    </row>
    <row r="74" spans="1:9" x14ac:dyDescent="0.25">
      <c r="A74" s="8">
        <v>72</v>
      </c>
      <c r="B74" s="14">
        <f t="shared" si="4"/>
        <v>0.71</v>
      </c>
      <c r="C74" s="14">
        <f t="shared" si="5"/>
        <v>0.29000000000000004</v>
      </c>
      <c r="D74" s="7">
        <f>B74*Inputs!$D$6+C74*Inputs!$D$11</f>
        <v>0.12970000000000001</v>
      </c>
      <c r="E74" s="14">
        <f>SQRT(B74^2*Inputs!$D$7^2+C74^2*Inputs!$D$12^2+2*B74*C74*Inputs!$D$7*Inputs!$D$12*1)</f>
        <v>0.21229999999999999</v>
      </c>
      <c r="F74" s="14">
        <f>SQRT(B74^2*Inputs!$D$7^2+C74^2*Inputs!$D$12^2+2*B74*C74*Inputs!$D$7*Inputs!$D$12*0.5)</f>
        <v>0.19721635327730813</v>
      </c>
      <c r="G74" s="14">
        <f>SQRT(B74^2*Inputs!$D$7^2+C74^2*Inputs!$D$12^2+2*B74*C74*Inputs!$D$7*Inputs!$D$12*0)</f>
        <v>0.18087921384172367</v>
      </c>
      <c r="H74" s="14">
        <f>SQRT(B74^2*Inputs!$D$7^2+C74^2*Inputs!$D$12^2+2*B74*C74*Inputs!$D$7*Inputs!$D$12*-0.5)</f>
        <v>0.162911908711426</v>
      </c>
      <c r="I74" s="14">
        <f>SQRT(B74^2*Inputs!$D$7^2+C74^2*Inputs!$D$12^2+2*B74*C74*Inputs!$D$7*Inputs!$D$12*-1)</f>
        <v>0.14270000000000002</v>
      </c>
    </row>
    <row r="75" spans="1:9" x14ac:dyDescent="0.25">
      <c r="A75" s="8">
        <v>73</v>
      </c>
      <c r="B75" s="9">
        <f t="shared" si="4"/>
        <v>0.72</v>
      </c>
      <c r="C75" s="9">
        <f t="shared" si="5"/>
        <v>0.28000000000000003</v>
      </c>
      <c r="D75" s="10">
        <f>B75*Inputs!$D$6+C75*Inputs!$D$11</f>
        <v>0.13040000000000002</v>
      </c>
      <c r="E75" s="9">
        <f>SQRT(B75^2*Inputs!$D$7^2+C75^2*Inputs!$D$12^2+2*B75*C75*Inputs!$D$7*Inputs!$D$12*1)</f>
        <v>0.21359999999999998</v>
      </c>
      <c r="F75" s="9">
        <f>SQRT(B75^2*Inputs!$D$7^2+C75^2*Inputs!$D$12^2+2*B75*C75*Inputs!$D$7*Inputs!$D$12*0.5)</f>
        <v>0.19893958882032503</v>
      </c>
      <c r="G75" s="9">
        <f>SQRT(B75^2*Inputs!$D$7^2+C75^2*Inputs!$D$12^2+2*B75*C75*Inputs!$D$7*Inputs!$D$12*0)</f>
        <v>0.18310914777803974</v>
      </c>
      <c r="H75" s="9">
        <f>SQRT(B75^2*Inputs!$D$7^2+C75^2*Inputs!$D$12^2+2*B75*C75*Inputs!$D$7*Inputs!$D$12*-0.5)</f>
        <v>0.16577382181755959</v>
      </c>
      <c r="I75" s="9">
        <f>SQRT(B75^2*Inputs!$D$7^2+C75^2*Inputs!$D$12^2+2*B75*C75*Inputs!$D$7*Inputs!$D$12*-1)</f>
        <v>0.1464</v>
      </c>
    </row>
    <row r="76" spans="1:9" x14ac:dyDescent="0.25">
      <c r="A76" s="8">
        <v>74</v>
      </c>
      <c r="B76" s="14">
        <f t="shared" si="4"/>
        <v>0.73</v>
      </c>
      <c r="C76" s="14">
        <f t="shared" si="5"/>
        <v>0.27</v>
      </c>
      <c r="D76" s="7">
        <f>B76*Inputs!$D$6+C76*Inputs!$D$11</f>
        <v>0.13109999999999999</v>
      </c>
      <c r="E76" s="14">
        <f>SQRT(B76^2*Inputs!$D$7^2+C76^2*Inputs!$D$12^2+2*B76*C76*Inputs!$D$7*Inputs!$D$12*1)</f>
        <v>0.21489999999999998</v>
      </c>
      <c r="F76" s="14">
        <f>SQRT(B76^2*Inputs!$D$7^2+C76^2*Inputs!$D$12^2+2*B76*C76*Inputs!$D$7*Inputs!$D$12*0.5)</f>
        <v>0.20067139806160716</v>
      </c>
      <c r="G76" s="14">
        <f>SQRT(B76^2*Inputs!$D$7^2+C76^2*Inputs!$D$12^2+2*B76*C76*Inputs!$D$7*Inputs!$D$12*0)</f>
        <v>0.18535374288101114</v>
      </c>
      <c r="H76" s="14">
        <f>SQRT(B76^2*Inputs!$D$7^2+C76^2*Inputs!$D$12^2+2*B76*C76*Inputs!$D$7*Inputs!$D$12*-0.5)</f>
        <v>0.16865055588405273</v>
      </c>
      <c r="I76" s="14">
        <f>SQRT(B76^2*Inputs!$D$7^2+C76^2*Inputs!$D$12^2+2*B76*C76*Inputs!$D$7*Inputs!$D$12*-1)</f>
        <v>0.15009999999999998</v>
      </c>
    </row>
    <row r="77" spans="1:9" x14ac:dyDescent="0.25">
      <c r="A77" s="8">
        <v>75</v>
      </c>
      <c r="B77" s="9">
        <f t="shared" si="4"/>
        <v>0.74</v>
      </c>
      <c r="C77" s="9">
        <f t="shared" si="5"/>
        <v>0.26</v>
      </c>
      <c r="D77" s="10">
        <f>B77*Inputs!$D$6+C77*Inputs!$D$11</f>
        <v>0.1318</v>
      </c>
      <c r="E77" s="9">
        <f>SQRT(B77^2*Inputs!$D$7^2+C77^2*Inputs!$D$12^2+2*B77*C77*Inputs!$D$7*Inputs!$D$12*1)</f>
        <v>0.2162</v>
      </c>
      <c r="F77" s="9">
        <f>SQRT(B77^2*Inputs!$D$7^2+C77^2*Inputs!$D$12^2+2*B77*C77*Inputs!$D$7*Inputs!$D$12*0.5)</f>
        <v>0.20241156093464621</v>
      </c>
      <c r="G77" s="9">
        <f>SQRT(B77^2*Inputs!$D$7^2+C77^2*Inputs!$D$12^2+2*B77*C77*Inputs!$D$7*Inputs!$D$12*0)</f>
        <v>0.18761247293290495</v>
      </c>
      <c r="H77" s="9">
        <f>SQRT(B77^2*Inputs!$D$7^2+C77^2*Inputs!$D$12^2+2*B77*C77*Inputs!$D$7*Inputs!$D$12*-0.5)</f>
        <v>0.17154136527380209</v>
      </c>
      <c r="I77" s="9">
        <f>SQRT(B77^2*Inputs!$D$7^2+C77^2*Inputs!$D$12^2+2*B77*C77*Inputs!$D$7*Inputs!$D$12*-1)</f>
        <v>0.15379999999999999</v>
      </c>
    </row>
    <row r="78" spans="1:9" x14ac:dyDescent="0.25">
      <c r="A78" s="8">
        <v>76</v>
      </c>
      <c r="B78" s="14">
        <f t="shared" si="4"/>
        <v>0.75</v>
      </c>
      <c r="C78" s="14">
        <f t="shared" si="5"/>
        <v>0.25</v>
      </c>
      <c r="D78" s="7">
        <f>B78*Inputs!$D$6+C78*Inputs!$D$11</f>
        <v>0.13249999999999998</v>
      </c>
      <c r="E78" s="14">
        <f>SQRT(B78^2*Inputs!$D$7^2+C78^2*Inputs!$D$12^2+2*B78*C78*Inputs!$D$7*Inputs!$D$12*1)</f>
        <v>0.2175</v>
      </c>
      <c r="F78" s="14">
        <f>SQRT(B78^2*Inputs!$D$7^2+C78^2*Inputs!$D$12^2+2*B78*C78*Inputs!$D$7*Inputs!$D$12*0.5)</f>
        <v>0.20415986383224299</v>
      </c>
      <c r="G78" s="14">
        <f>SQRT(B78^2*Inputs!$D$7^2+C78^2*Inputs!$D$12^2+2*B78*C78*Inputs!$D$7*Inputs!$D$12*0)</f>
        <v>0.18988483351758242</v>
      </c>
      <c r="H78" s="14">
        <f>SQRT(B78^2*Inputs!$D$7^2+C78^2*Inputs!$D$12^2+2*B78*C78*Inputs!$D$7*Inputs!$D$12*-0.5)</f>
        <v>0.17444555024419511</v>
      </c>
      <c r="I78" s="14">
        <f>SQRT(B78^2*Inputs!$D$7^2+C78^2*Inputs!$D$12^2+2*B78*C78*Inputs!$D$7*Inputs!$D$12*-1)</f>
        <v>0.1575</v>
      </c>
    </row>
    <row r="79" spans="1:9" x14ac:dyDescent="0.25">
      <c r="A79" s="8">
        <v>77</v>
      </c>
      <c r="B79" s="9">
        <f t="shared" si="4"/>
        <v>0.76</v>
      </c>
      <c r="C79" s="9">
        <f t="shared" si="5"/>
        <v>0.24</v>
      </c>
      <c r="D79" s="10">
        <f>B79*Inputs!$D$6+C79*Inputs!$D$11</f>
        <v>0.13319999999999999</v>
      </c>
      <c r="E79" s="9">
        <f>SQRT(B79^2*Inputs!$D$7^2+C79^2*Inputs!$D$12^2+2*B79*C79*Inputs!$D$7*Inputs!$D$12*1)</f>
        <v>0.21879999999999999</v>
      </c>
      <c r="F79" s="9">
        <f>SQRT(B79^2*Inputs!$D$7^2+C79^2*Inputs!$D$12^2+2*B79*C79*Inputs!$D$7*Inputs!$D$12*0.5)</f>
        <v>0.20591609941915665</v>
      </c>
      <c r="G79" s="9">
        <f>SQRT(B79^2*Inputs!$D$7^2+C79^2*Inputs!$D$12^2+2*B79*C79*Inputs!$D$7*Inputs!$D$12*0)</f>
        <v>0.19217034110392789</v>
      </c>
      <c r="H79" s="9">
        <f>SQRT(B79^2*Inputs!$D$7^2+C79^2*Inputs!$D$12^2+2*B79*C79*Inputs!$D$7*Inputs!$D$12*-0.5)</f>
        <v>0.17736245374937731</v>
      </c>
      <c r="I79" s="9">
        <f>SQRT(B79^2*Inputs!$D$7^2+C79^2*Inputs!$D$12^2+2*B79*C79*Inputs!$D$7*Inputs!$D$12*-1)</f>
        <v>0.16119999999999998</v>
      </c>
    </row>
    <row r="80" spans="1:9" x14ac:dyDescent="0.25">
      <c r="A80" s="8">
        <v>78</v>
      </c>
      <c r="B80" s="14">
        <f t="shared" si="4"/>
        <v>0.77</v>
      </c>
      <c r="C80" s="14">
        <f t="shared" si="5"/>
        <v>0.22999999999999998</v>
      </c>
      <c r="D80" s="7">
        <f>B80*Inputs!$D$6+C80*Inputs!$D$11</f>
        <v>0.13389999999999999</v>
      </c>
      <c r="E80" s="14">
        <f>SQRT(B80^2*Inputs!$D$7^2+C80^2*Inputs!$D$12^2+2*B80*C80*Inputs!$D$7*Inputs!$D$12*1)</f>
        <v>0.22009999999999999</v>
      </c>
      <c r="F80" s="14">
        <f>SQRT(B80^2*Inputs!$D$7^2+C80^2*Inputs!$D$12^2+2*B80*C80*Inputs!$D$7*Inputs!$D$12*0.5)</f>
        <v>0.2076800664483715</v>
      </c>
      <c r="G80" s="14">
        <f>SQRT(B80^2*Inputs!$D$7^2+C80^2*Inputs!$D$12^2+2*B80*C80*Inputs!$D$7*Inputs!$D$12*0)</f>
        <v>0.19446853215880455</v>
      </c>
      <c r="H80" s="14">
        <f>SQRT(B80^2*Inputs!$D$7^2+C80^2*Inputs!$D$12^2+2*B80*C80*Inputs!$D$7*Inputs!$D$12*-0.5)</f>
        <v>0.18029145847765501</v>
      </c>
      <c r="I80" s="14">
        <f>SQRT(B80^2*Inputs!$D$7^2+C80^2*Inputs!$D$12^2+2*B80*C80*Inputs!$D$7*Inputs!$D$12*-1)</f>
        <v>0.16490000000000002</v>
      </c>
    </row>
    <row r="81" spans="1:9" x14ac:dyDescent="0.25">
      <c r="A81" s="8">
        <v>79</v>
      </c>
      <c r="B81" s="9">
        <f t="shared" si="4"/>
        <v>0.78</v>
      </c>
      <c r="C81" s="9">
        <f t="shared" si="5"/>
        <v>0.21999999999999997</v>
      </c>
      <c r="D81" s="10">
        <f>B81*Inputs!$D$6+C81*Inputs!$D$11</f>
        <v>0.1346</v>
      </c>
      <c r="E81" s="9">
        <f>SQRT(B81^2*Inputs!$D$7^2+C81^2*Inputs!$D$12^2+2*B81*C81*Inputs!$D$7*Inputs!$D$12*1)</f>
        <v>0.22139999999999999</v>
      </c>
      <c r="F81" s="9">
        <f>SQRT(B81^2*Inputs!$D$7^2+C81^2*Inputs!$D$12^2+2*B81*C81*Inputs!$D$7*Inputs!$D$12*0.5)</f>
        <v>0.20945156958113254</v>
      </c>
      <c r="G81" s="9">
        <f>SQRT(B81^2*Inputs!$D$7^2+C81^2*Inputs!$D$12^2+2*B81*C81*Inputs!$D$7*Inputs!$D$12*0)</f>
        <v>0.1967789622901798</v>
      </c>
      <c r="H81" s="9">
        <f>SQRT(B81^2*Inputs!$D$7^2+C81^2*Inputs!$D$12^2+2*B81*C81*Inputs!$D$7*Inputs!$D$12*-0.5)</f>
        <v>0.18323198410757877</v>
      </c>
      <c r="I81" s="9">
        <f>SQRT(B81^2*Inputs!$D$7^2+C81^2*Inputs!$D$12^2+2*B81*C81*Inputs!$D$7*Inputs!$D$12*-1)</f>
        <v>0.1686</v>
      </c>
    </row>
    <row r="82" spans="1:9" x14ac:dyDescent="0.25">
      <c r="A82" s="8">
        <v>80</v>
      </c>
      <c r="B82" s="14">
        <f t="shared" si="4"/>
        <v>0.79</v>
      </c>
      <c r="C82" s="14">
        <f t="shared" si="5"/>
        <v>0.20999999999999996</v>
      </c>
      <c r="D82" s="7">
        <f>B82*Inputs!$D$6+C82*Inputs!$D$11</f>
        <v>0.1353</v>
      </c>
      <c r="E82" s="14">
        <f>SQRT(B82^2*Inputs!$D$7^2+C82^2*Inputs!$D$12^2+2*B82*C82*Inputs!$D$7*Inputs!$D$12*1)</f>
        <v>0.22270000000000001</v>
      </c>
      <c r="F82" s="14">
        <f>SQRT(B82^2*Inputs!$D$7^2+C82^2*Inputs!$D$12^2+2*B82*C82*Inputs!$D$7*Inputs!$D$12*0.5)</f>
        <v>0.2112304192108703</v>
      </c>
      <c r="G82" s="14">
        <f>SQRT(B82^2*Inputs!$D$7^2+C82^2*Inputs!$D$12^2+2*B82*C82*Inputs!$D$7*Inputs!$D$12*0)</f>
        <v>0.19910120542076085</v>
      </c>
      <c r="H82" s="14">
        <f>SQRT(B82^2*Inputs!$D$7^2+C82^2*Inputs!$D$12^2+2*B82*C82*Inputs!$D$7*Inputs!$D$12*-0.5)</f>
        <v>0.18618348476704372</v>
      </c>
      <c r="I82" s="14">
        <f>SQRT(B82^2*Inputs!$D$7^2+C82^2*Inputs!$D$12^2+2*B82*C82*Inputs!$D$7*Inputs!$D$12*-1)</f>
        <v>0.17230000000000001</v>
      </c>
    </row>
    <row r="83" spans="1:9" x14ac:dyDescent="0.25">
      <c r="A83" s="8">
        <v>81</v>
      </c>
      <c r="B83" s="9">
        <f t="shared" si="4"/>
        <v>0.8</v>
      </c>
      <c r="C83" s="9">
        <f t="shared" si="5"/>
        <v>0.19999999999999996</v>
      </c>
      <c r="D83" s="10">
        <f>B83*Inputs!$D$6+C83*Inputs!$D$11</f>
        <v>0.13599999999999998</v>
      </c>
      <c r="E83" s="9">
        <f>SQRT(B83^2*Inputs!$D$7^2+C83^2*Inputs!$D$12^2+2*B83*C83*Inputs!$D$7*Inputs!$D$12*1)</f>
        <v>0.224</v>
      </c>
      <c r="F83" s="9">
        <f>SQRT(B83^2*Inputs!$D$7^2+C83^2*Inputs!$D$12^2+2*B83*C83*Inputs!$D$7*Inputs!$D$12*0.5)</f>
        <v>0.21301643129110959</v>
      </c>
      <c r="G83" s="9">
        <f>SQRT(B83^2*Inputs!$D$7^2+C83^2*Inputs!$D$12^2+2*B83*C83*Inputs!$D$7*Inputs!$D$12*0)</f>
        <v>0.20143485299222677</v>
      </c>
      <c r="H83" s="9">
        <f>SQRT(B83^2*Inputs!$D$7^2+C83^2*Inputs!$D$12^2+2*B83*C83*Inputs!$D$7*Inputs!$D$12*-0.5)</f>
        <v>0.18914544668059025</v>
      </c>
      <c r="I83" s="9">
        <f>SQRT(B83^2*Inputs!$D$7^2+C83^2*Inputs!$D$12^2+2*B83*C83*Inputs!$D$7*Inputs!$D$12*-1)</f>
        <v>0.17600000000000002</v>
      </c>
    </row>
    <row r="84" spans="1:9" x14ac:dyDescent="0.25">
      <c r="A84" s="8">
        <v>82</v>
      </c>
      <c r="B84" s="14">
        <f t="shared" si="4"/>
        <v>0.81</v>
      </c>
      <c r="C84" s="14">
        <f t="shared" si="5"/>
        <v>0.18999999999999995</v>
      </c>
      <c r="D84" s="7">
        <f>B84*Inputs!$D$6+C84*Inputs!$D$11</f>
        <v>0.13669999999999999</v>
      </c>
      <c r="E84" s="14">
        <f>SQRT(B84^2*Inputs!$D$7^2+C84^2*Inputs!$D$12^2+2*B84*C84*Inputs!$D$7*Inputs!$D$12*1)</f>
        <v>0.22530000000000003</v>
      </c>
      <c r="F84" s="14">
        <f>SQRT(B84^2*Inputs!$D$7^2+C84^2*Inputs!$D$12^2+2*B84*C84*Inputs!$D$7*Inputs!$D$12*0.5)</f>
        <v>0.21480942716743137</v>
      </c>
      <c r="G84" s="14">
        <f>SQRT(B84^2*Inputs!$D$7^2+C84^2*Inputs!$D$12^2+2*B84*C84*Inputs!$D$7*Inputs!$D$12*0)</f>
        <v>0.20377951319992893</v>
      </c>
      <c r="H84" s="14">
        <f>SQRT(B84^2*Inputs!$D$7^2+C84^2*Inputs!$D$12^2+2*B84*C84*Inputs!$D$7*Inputs!$D$12*-0.5)</f>
        <v>0.19211738599096129</v>
      </c>
      <c r="I84" s="14">
        <f>SQRT(B84^2*Inputs!$D$7^2+C84^2*Inputs!$D$12^2+2*B84*C84*Inputs!$D$7*Inputs!$D$12*-1)</f>
        <v>0.17970000000000003</v>
      </c>
    </row>
    <row r="85" spans="1:9" x14ac:dyDescent="0.25">
      <c r="A85" s="8">
        <v>83</v>
      </c>
      <c r="B85" s="9">
        <f t="shared" si="4"/>
        <v>0.82000000000000006</v>
      </c>
      <c r="C85" s="9">
        <f t="shared" si="5"/>
        <v>0.17999999999999994</v>
      </c>
      <c r="D85" s="10">
        <f>B85*Inputs!$D$6+C85*Inputs!$D$11</f>
        <v>0.13739999999999999</v>
      </c>
      <c r="E85" s="9">
        <f>SQRT(B85^2*Inputs!$D$7^2+C85^2*Inputs!$D$12^2+2*B85*C85*Inputs!$D$7*Inputs!$D$12*1)</f>
        <v>0.2266</v>
      </c>
      <c r="F85" s="9">
        <f>SQRT(B85^2*Inputs!$D$7^2+C85^2*Inputs!$D$12^2+2*B85*C85*Inputs!$D$7*Inputs!$D$12*0.5)</f>
        <v>0.21660923341353666</v>
      </c>
      <c r="G85" s="9">
        <f>SQRT(B85^2*Inputs!$D$7^2+C85^2*Inputs!$D$12^2+2*B85*C85*Inputs!$D$7*Inputs!$D$12*0)</f>
        <v>0.20613481025775343</v>
      </c>
      <c r="H85" s="9">
        <f>SQRT(B85^2*Inputs!$D$7^2+C85^2*Inputs!$D$12^2+2*B85*C85*Inputs!$D$7*Inputs!$D$12*-0.5)</f>
        <v>0.19509884674185032</v>
      </c>
      <c r="I85" s="9">
        <f>SQRT(B85^2*Inputs!$D$7^2+C85^2*Inputs!$D$12^2+2*B85*C85*Inputs!$D$7*Inputs!$D$12*-1)</f>
        <v>0.18340000000000004</v>
      </c>
    </row>
    <row r="86" spans="1:9" x14ac:dyDescent="0.25">
      <c r="A86" s="8">
        <v>84</v>
      </c>
      <c r="B86" s="14">
        <f t="shared" si="4"/>
        <v>0.83000000000000007</v>
      </c>
      <c r="C86" s="14">
        <f t="shared" si="5"/>
        <v>0.16999999999999993</v>
      </c>
      <c r="D86" s="7">
        <f>B86*Inputs!$D$6+C86*Inputs!$D$11</f>
        <v>0.1381</v>
      </c>
      <c r="E86" s="14">
        <f>SQRT(B86^2*Inputs!$D$7^2+C86^2*Inputs!$D$12^2+2*B86*C86*Inputs!$D$7*Inputs!$D$12*1)</f>
        <v>0.22789999999999999</v>
      </c>
      <c r="F86" s="14">
        <f>SQRT(B86^2*Inputs!$D$7^2+C86^2*Inputs!$D$12^2+2*B86*C86*Inputs!$D$7*Inputs!$D$12*0.5)</f>
        <v>0.21841568167144043</v>
      </c>
      <c r="G86" s="14">
        <f>SQRT(B86^2*Inputs!$D$7^2+C86^2*Inputs!$D$12^2+2*B86*C86*Inputs!$D$7*Inputs!$D$12*0)</f>
        <v>0.20850038369269253</v>
      </c>
      <c r="H86" s="14">
        <f>SQRT(B86^2*Inputs!$D$7^2+C86^2*Inputs!$D$12^2+2*B86*C86*Inputs!$D$7*Inputs!$D$12*-0.5)</f>
        <v>0.19808939900963909</v>
      </c>
      <c r="I86" s="14">
        <f>SQRT(B86^2*Inputs!$D$7^2+C86^2*Inputs!$D$12^2+2*B86*C86*Inputs!$D$7*Inputs!$D$12*-1)</f>
        <v>0.18710000000000002</v>
      </c>
    </row>
    <row r="87" spans="1:9" x14ac:dyDescent="0.25">
      <c r="A87" s="8">
        <v>85</v>
      </c>
      <c r="B87" s="9">
        <f t="shared" si="4"/>
        <v>0.84</v>
      </c>
      <c r="C87" s="9">
        <f t="shared" si="5"/>
        <v>0.16000000000000003</v>
      </c>
      <c r="D87" s="10">
        <f>B87*Inputs!$D$6+C87*Inputs!$D$11</f>
        <v>0.13880000000000001</v>
      </c>
      <c r="E87" s="9">
        <f>SQRT(B87^2*Inputs!$D$7^2+C87^2*Inputs!$D$12^2+2*B87*C87*Inputs!$D$7*Inputs!$D$12*1)</f>
        <v>0.22919999999999999</v>
      </c>
      <c r="F87" s="9">
        <f>SQRT(B87^2*Inputs!$D$7^2+C87^2*Inputs!$D$12^2+2*B87*C87*Inputs!$D$7*Inputs!$D$12*0.5)</f>
        <v>0.22022860849580828</v>
      </c>
      <c r="G87" s="9">
        <f>SQRT(B87^2*Inputs!$D$7^2+C87^2*Inputs!$D$12^2+2*B87*C87*Inputs!$D$7*Inputs!$D$12*0)</f>
        <v>0.21087588766855256</v>
      </c>
      <c r="H87" s="9">
        <f>SQRT(B87^2*Inputs!$D$7^2+C87^2*Inputs!$D$12^2+2*B87*C87*Inputs!$D$7*Inputs!$D$12*-0.5)</f>
        <v>0.20108863717276518</v>
      </c>
      <c r="I87" s="9">
        <f>SQRT(B87^2*Inputs!$D$7^2+C87^2*Inputs!$D$12^2+2*B87*C87*Inputs!$D$7*Inputs!$D$12*-1)</f>
        <v>0.1908</v>
      </c>
    </row>
    <row r="88" spans="1:9" x14ac:dyDescent="0.25">
      <c r="A88" s="8">
        <v>86</v>
      </c>
      <c r="B88" s="14">
        <f t="shared" si="4"/>
        <v>0.85</v>
      </c>
      <c r="C88" s="14">
        <f t="shared" si="5"/>
        <v>0.15000000000000002</v>
      </c>
      <c r="D88" s="7">
        <f>B88*Inputs!$D$6+C88*Inputs!$D$11</f>
        <v>0.13950000000000001</v>
      </c>
      <c r="E88" s="14">
        <f>SQRT(B88^2*Inputs!$D$7^2+C88^2*Inputs!$D$12^2+2*B88*C88*Inputs!$D$7*Inputs!$D$12*1)</f>
        <v>0.23049999999999998</v>
      </c>
      <c r="F88" s="14">
        <f>SQRT(B88^2*Inputs!$D$7^2+C88^2*Inputs!$D$12^2+2*B88*C88*Inputs!$D$7*Inputs!$D$12*0.5)</f>
        <v>0.22204785520243153</v>
      </c>
      <c r="G88" s="14">
        <f>SQRT(B88^2*Inputs!$D$7^2+C88^2*Inputs!$D$12^2+2*B88*C88*Inputs!$D$7*Inputs!$D$12*0)</f>
        <v>0.21326099033813004</v>
      </c>
      <c r="H88" s="14">
        <f>SQRT(B88^2*Inputs!$D$7^2+C88^2*Inputs!$D$12^2+2*B88*C88*Inputs!$D$7*Inputs!$D$12*-0.5)</f>
        <v>0.2040961783081692</v>
      </c>
      <c r="I88" s="14">
        <f>SQRT(B88^2*Inputs!$D$7^2+C88^2*Inputs!$D$12^2+2*B88*C88*Inputs!$D$7*Inputs!$D$12*-1)</f>
        <v>0.19449999999999998</v>
      </c>
    </row>
    <row r="89" spans="1:9" x14ac:dyDescent="0.25">
      <c r="A89" s="8">
        <v>87</v>
      </c>
      <c r="B89" s="9">
        <f t="shared" si="4"/>
        <v>0.86</v>
      </c>
      <c r="C89" s="9">
        <f t="shared" si="5"/>
        <v>0.14000000000000001</v>
      </c>
      <c r="D89" s="10">
        <f>B89*Inputs!$D$6+C89*Inputs!$D$11</f>
        <v>0.14019999999999999</v>
      </c>
      <c r="E89" s="9">
        <f>SQRT(B89^2*Inputs!$D$7^2+C89^2*Inputs!$D$12^2+2*B89*C89*Inputs!$D$7*Inputs!$D$12*1)</f>
        <v>0.23180000000000001</v>
      </c>
      <c r="F89" s="9">
        <f>SQRT(B89^2*Inputs!$D$7^2+C89^2*Inputs!$D$12^2+2*B89*C89*Inputs!$D$7*Inputs!$D$12*0.5)</f>
        <v>0.22387326772082458</v>
      </c>
      <c r="G89" s="9">
        <f>SQRT(B89^2*Inputs!$D$7^2+C89^2*Inputs!$D$12^2+2*B89*C89*Inputs!$D$7*Inputs!$D$12*0)</f>
        <v>0.21565537322311262</v>
      </c>
      <c r="H89" s="9">
        <f>SQRT(B89^2*Inputs!$D$7^2+C89^2*Inputs!$D$12^2+2*B89*C89*Inputs!$D$7*Inputs!$D$12*-0.5)</f>
        <v>0.20711166070504095</v>
      </c>
      <c r="I89" s="9">
        <f>SQRT(B89^2*Inputs!$D$7^2+C89^2*Inputs!$D$12^2+2*B89*C89*Inputs!$D$7*Inputs!$D$12*-1)</f>
        <v>0.19819999999999999</v>
      </c>
    </row>
    <row r="90" spans="1:9" x14ac:dyDescent="0.25">
      <c r="A90" s="8">
        <v>88</v>
      </c>
      <c r="B90" s="14">
        <f t="shared" si="4"/>
        <v>0.87</v>
      </c>
      <c r="C90" s="14">
        <f t="shared" si="5"/>
        <v>0.13</v>
      </c>
      <c r="D90" s="7">
        <f>B90*Inputs!$D$6+C90*Inputs!$D$11</f>
        <v>0.1409</v>
      </c>
      <c r="E90" s="14">
        <f>SQRT(B90^2*Inputs!$D$7^2+C90^2*Inputs!$D$12^2+2*B90*C90*Inputs!$D$7*Inputs!$D$12*1)</f>
        <v>0.2331</v>
      </c>
      <c r="F90" s="14">
        <f>SQRT(B90^2*Inputs!$D$7^2+C90^2*Inputs!$D$12^2+2*B90*C90*Inputs!$D$7*Inputs!$D$12*0.5)</f>
        <v>0.2257046964509157</v>
      </c>
      <c r="G90" s="14">
        <f>SQRT(B90^2*Inputs!$D$7^2+C90^2*Inputs!$D$12^2+2*B90*C90*Inputs!$D$7*Inputs!$D$12*0)</f>
        <v>0.21805873062090406</v>
      </c>
      <c r="H90" s="14">
        <f>SQRT(B90^2*Inputs!$D$7^2+C90^2*Inputs!$D$12^2+2*B90*C90*Inputs!$D$7*Inputs!$D$12*-0.5)</f>
        <v>0.21013474248681488</v>
      </c>
      <c r="I90" s="14">
        <f>SQRT(B90^2*Inputs!$D$7^2+C90^2*Inputs!$D$12^2+2*B90*C90*Inputs!$D$7*Inputs!$D$12*-1)</f>
        <v>0.2019</v>
      </c>
    </row>
    <row r="91" spans="1:9" x14ac:dyDescent="0.25">
      <c r="A91" s="8">
        <v>89</v>
      </c>
      <c r="B91" s="9">
        <f t="shared" si="4"/>
        <v>0.88</v>
      </c>
      <c r="C91" s="9">
        <f t="shared" si="5"/>
        <v>0.12</v>
      </c>
      <c r="D91" s="10">
        <f>B91*Inputs!$D$6+C91*Inputs!$D$11</f>
        <v>0.1416</v>
      </c>
      <c r="E91" s="9">
        <f>SQRT(B91^2*Inputs!$D$7^2+C91^2*Inputs!$D$12^2+2*B91*C91*Inputs!$D$7*Inputs!$D$12*1)</f>
        <v>0.2344</v>
      </c>
      <c r="F91" s="9">
        <f>SQRT(B91^2*Inputs!$D$7^2+C91^2*Inputs!$D$12^2+2*B91*C91*Inputs!$D$7*Inputs!$D$12*0.5)</f>
        <v>0.22754199612379247</v>
      </c>
      <c r="G91" s="9">
        <f>SQRT(B91^2*Inputs!$D$7^2+C91^2*Inputs!$D$12^2+2*B91*C91*Inputs!$D$7*Inputs!$D$12*0)</f>
        <v>0.22047076903753021</v>
      </c>
      <c r="H91" s="9">
        <f>SQRT(B91^2*Inputs!$D$7^2+C91^2*Inputs!$D$12^2+2*B91*C91*Inputs!$D$7*Inputs!$D$12*-0.5)</f>
        <v>0.21316510033305169</v>
      </c>
      <c r="I91" s="9">
        <f>SQRT(B91^2*Inputs!$D$7^2+C91^2*Inputs!$D$12^2+2*B91*C91*Inputs!$D$7*Inputs!$D$12*-1)</f>
        <v>0.20559999999999998</v>
      </c>
    </row>
    <row r="92" spans="1:9" x14ac:dyDescent="0.25">
      <c r="A92" s="8">
        <v>90</v>
      </c>
      <c r="B92" s="14">
        <f t="shared" si="4"/>
        <v>0.89</v>
      </c>
      <c r="C92" s="14">
        <f t="shared" si="5"/>
        <v>0.10999999999999999</v>
      </c>
      <c r="D92" s="7">
        <f>B92*Inputs!$D$6+C92*Inputs!$D$11</f>
        <v>0.14230000000000001</v>
      </c>
      <c r="E92" s="14">
        <f>SQRT(B92^2*Inputs!$D$7^2+C92^2*Inputs!$D$12^2+2*B92*C92*Inputs!$D$7*Inputs!$D$12*1)</f>
        <v>0.23569999999999999</v>
      </c>
      <c r="F92" s="14">
        <f>SQRT(B92^2*Inputs!$D$7^2+C92^2*Inputs!$D$12^2+2*B92*C92*Inputs!$D$7*Inputs!$D$12*0.5)</f>
        <v>0.22938502566645452</v>
      </c>
      <c r="G92" s="14">
        <f>SQRT(B92^2*Inputs!$D$7^2+C92^2*Inputs!$D$12^2+2*B92*C92*Inputs!$D$7*Inputs!$D$12*0)</f>
        <v>0.22289120664575351</v>
      </c>
      <c r="H92" s="14">
        <f>SQRT(B92^2*Inputs!$D$7^2+C92^2*Inputs!$D$12^2+2*B92*C92*Inputs!$D$7*Inputs!$D$12*-0.5)</f>
        <v>0.2162024282934861</v>
      </c>
      <c r="I92" s="14">
        <f>SQRT(B92^2*Inputs!$D$7^2+C92^2*Inputs!$D$12^2+2*B92*C92*Inputs!$D$7*Inputs!$D$12*-1)</f>
        <v>0.20930000000000001</v>
      </c>
    </row>
    <row r="93" spans="1:9" x14ac:dyDescent="0.25">
      <c r="A93" s="8">
        <v>91</v>
      </c>
      <c r="B93" s="9">
        <f t="shared" si="4"/>
        <v>0.9</v>
      </c>
      <c r="C93" s="9">
        <f t="shared" si="5"/>
        <v>9.9999999999999978E-2</v>
      </c>
      <c r="D93" s="10">
        <f>B93*Inputs!$D$6+C93*Inputs!$D$11</f>
        <v>0.14300000000000002</v>
      </c>
      <c r="E93" s="9">
        <f>SQRT(B93^2*Inputs!$D$7^2+C93^2*Inputs!$D$12^2+2*B93*C93*Inputs!$D$7*Inputs!$D$12*1)</f>
        <v>0.23699999999999999</v>
      </c>
      <c r="F93" s="9">
        <f>SQRT(B93^2*Inputs!$D$7^2+C93^2*Inputs!$D$12^2+2*B93*C93*Inputs!$D$7*Inputs!$D$12*0.5)</f>
        <v>0.23123364807051763</v>
      </c>
      <c r="G93" s="9">
        <f>SQRT(B93^2*Inputs!$D$7^2+C93^2*Inputs!$D$12^2+2*B93*C93*Inputs!$D$7*Inputs!$D$12*0)</f>
        <v>0.22531977276750481</v>
      </c>
      <c r="H93" s="9">
        <f>SQRT(B93^2*Inputs!$D$7^2+C93^2*Inputs!$D$12^2+2*B93*C93*Inputs!$D$7*Inputs!$D$12*-0.5)</f>
        <v>0.21924643668712154</v>
      </c>
      <c r="I93" s="9">
        <f>SQRT(B93^2*Inputs!$D$7^2+C93^2*Inputs!$D$12^2+2*B93*C93*Inputs!$D$7*Inputs!$D$12*-1)</f>
        <v>0.21300000000000002</v>
      </c>
    </row>
    <row r="94" spans="1:9" x14ac:dyDescent="0.25">
      <c r="A94" s="8">
        <v>92</v>
      </c>
      <c r="B94" s="14">
        <f t="shared" si="4"/>
        <v>0.91</v>
      </c>
      <c r="C94" s="14">
        <f t="shared" si="5"/>
        <v>8.9999999999999969E-2</v>
      </c>
      <c r="D94" s="7">
        <f>B94*Inputs!$D$6+C94*Inputs!$D$11</f>
        <v>0.14369999999999999</v>
      </c>
      <c r="E94" s="14">
        <f>SQRT(B94^2*Inputs!$D$7^2+C94^2*Inputs!$D$12^2+2*B94*C94*Inputs!$D$7*Inputs!$D$12*1)</f>
        <v>0.23830000000000001</v>
      </c>
      <c r="F94" s="14">
        <f>SQRT(B94^2*Inputs!$D$7^2+C94^2*Inputs!$D$12^2+2*B94*C94*Inputs!$D$7*Inputs!$D$12*0.5)</f>
        <v>0.23308773026480825</v>
      </c>
      <c r="G94" s="14">
        <f>SQRT(B94^2*Inputs!$D$7^2+C94^2*Inputs!$D$12^2+2*B94*C94*Inputs!$D$7*Inputs!$D$12*0)</f>
        <v>0.22775620737973312</v>
      </c>
      <c r="H94" s="14">
        <f>SQRT(B94^2*Inputs!$D$7^2+C94^2*Inputs!$D$12^2+2*B94*C94*Inputs!$D$7*Inputs!$D$12*-0.5)</f>
        <v>0.22229685107981176</v>
      </c>
      <c r="I94" s="14">
        <f>SQRT(B94^2*Inputs!$D$7^2+C94^2*Inputs!$D$12^2+2*B94*C94*Inputs!$D$7*Inputs!$D$12*-1)</f>
        <v>0.2167</v>
      </c>
    </row>
    <row r="95" spans="1:9" x14ac:dyDescent="0.25">
      <c r="A95" s="8">
        <v>93</v>
      </c>
      <c r="B95" s="9">
        <f t="shared" si="4"/>
        <v>0.92</v>
      </c>
      <c r="C95" s="9">
        <f t="shared" si="5"/>
        <v>7.999999999999996E-2</v>
      </c>
      <c r="D95" s="10">
        <f>B95*Inputs!$D$6+C95*Inputs!$D$11</f>
        <v>0.1444</v>
      </c>
      <c r="E95" s="9">
        <f>SQRT(B95^2*Inputs!$D$7^2+C95^2*Inputs!$D$12^2+2*B95*C95*Inputs!$D$7*Inputs!$D$12*1)</f>
        <v>0.23960000000000001</v>
      </c>
      <c r="F95" s="9">
        <f>SQRT(B95^2*Inputs!$D$7^2+C95^2*Inputs!$D$12^2+2*B95*C95*Inputs!$D$7*Inputs!$D$12*0.5)</f>
        <v>0.23494714299178018</v>
      </c>
      <c r="G95" s="9">
        <f>SQRT(B95^2*Inputs!$D$7^2+C95^2*Inputs!$D$12^2+2*B95*C95*Inputs!$D$7*Inputs!$D$12*0)</f>
        <v>0.23020026064277166</v>
      </c>
      <c r="H95" s="9">
        <f>SQRT(B95^2*Inputs!$D$7^2+C95^2*Inputs!$D$12^2+2*B95*C95*Inputs!$D$7*Inputs!$D$12*-0.5)</f>
        <v>0.22535341133428621</v>
      </c>
      <c r="I95" s="9">
        <f>SQRT(B95^2*Inputs!$D$7^2+C95^2*Inputs!$D$12^2+2*B95*C95*Inputs!$D$7*Inputs!$D$12*-1)</f>
        <v>0.22040000000000001</v>
      </c>
    </row>
    <row r="96" spans="1:9" x14ac:dyDescent="0.25">
      <c r="A96" s="8">
        <v>94</v>
      </c>
      <c r="B96" s="14">
        <f t="shared" si="4"/>
        <v>0.93</v>
      </c>
      <c r="C96" s="14">
        <f t="shared" si="5"/>
        <v>6.9999999999999951E-2</v>
      </c>
      <c r="D96" s="7">
        <f>B96*Inputs!$D$6+C96*Inputs!$D$11</f>
        <v>0.14510000000000001</v>
      </c>
      <c r="E96" s="14">
        <f>SQRT(B96^2*Inputs!$D$7^2+C96^2*Inputs!$D$12^2+2*B96*C96*Inputs!$D$7*Inputs!$D$12*1)</f>
        <v>0.2409</v>
      </c>
      <c r="F96" s="14">
        <f>SQRT(B96^2*Inputs!$D$7^2+C96^2*Inputs!$D$12^2+2*B96*C96*Inputs!$D$7*Inputs!$D$12*0.5)</f>
        <v>0.23681176068768206</v>
      </c>
      <c r="G96" s="14">
        <f>SQRT(B96^2*Inputs!$D$7^2+C96^2*Inputs!$D$12^2+2*B96*C96*Inputs!$D$7*Inputs!$D$12*0)</f>
        <v>0.23265169245032369</v>
      </c>
      <c r="H96" s="14">
        <f>SQRT(B96^2*Inputs!$D$7^2+C96^2*Inputs!$D$12^2+2*B96*C96*Inputs!$D$7*Inputs!$D$12*-0.5)</f>
        <v>0.22841587072705785</v>
      </c>
      <c r="I96" s="14">
        <f>SQRT(B96^2*Inputs!$D$7^2+C96^2*Inputs!$D$12^2+2*B96*C96*Inputs!$D$7*Inputs!$D$12*-1)</f>
        <v>0.22410000000000002</v>
      </c>
    </row>
    <row r="97" spans="1:9" x14ac:dyDescent="0.25">
      <c r="A97" s="8">
        <v>95</v>
      </c>
      <c r="B97" s="9">
        <f t="shared" si="4"/>
        <v>0.94000000000000006</v>
      </c>
      <c r="C97" s="9">
        <f t="shared" si="5"/>
        <v>5.9999999999999942E-2</v>
      </c>
      <c r="D97" s="10">
        <f>B97*Inputs!$D$6+C97*Inputs!$D$11</f>
        <v>0.14580000000000001</v>
      </c>
      <c r="E97" s="9">
        <f>SQRT(B97^2*Inputs!$D$7^2+C97^2*Inputs!$D$12^2+2*B97*C97*Inputs!$D$7*Inputs!$D$12*1)</f>
        <v>0.2422</v>
      </c>
      <c r="F97" s="9">
        <f>SQRT(B97^2*Inputs!$D$7^2+C97^2*Inputs!$D$12^2+2*B97*C97*Inputs!$D$7*Inputs!$D$12*0.5)</f>
        <v>0.23868146136639939</v>
      </c>
      <c r="G97" s="9">
        <f>SQRT(B97^2*Inputs!$D$7^2+C97^2*Inputs!$D$12^2+2*B97*C97*Inputs!$D$7*Inputs!$D$12*0)</f>
        <v>0.23511027200018295</v>
      </c>
      <c r="H97" s="9">
        <f>SQRT(B97^2*Inputs!$D$7^2+C97^2*Inputs!$D$12^2+2*B97*C97*Inputs!$D$7*Inputs!$D$12*-0.5)</f>
        <v>0.23148399512709297</v>
      </c>
      <c r="I97" s="9">
        <f>SQRT(B97^2*Inputs!$D$7^2+C97^2*Inputs!$D$12^2+2*B97*C97*Inputs!$D$7*Inputs!$D$12*-1)</f>
        <v>0.22780000000000003</v>
      </c>
    </row>
    <row r="98" spans="1:9" x14ac:dyDescent="0.25">
      <c r="A98" s="8">
        <v>96</v>
      </c>
      <c r="B98" s="14">
        <f t="shared" si="4"/>
        <v>0.95000000000000007</v>
      </c>
      <c r="C98" s="14">
        <f t="shared" si="5"/>
        <v>4.9999999999999933E-2</v>
      </c>
      <c r="D98" s="7">
        <f>B98*Inputs!$D$6+C98*Inputs!$D$11</f>
        <v>0.14650000000000002</v>
      </c>
      <c r="E98" s="14">
        <f>SQRT(B98^2*Inputs!$D$7^2+C98^2*Inputs!$D$12^2+2*B98*C98*Inputs!$D$7*Inputs!$D$12*1)</f>
        <v>0.24350000000000002</v>
      </c>
      <c r="F98" s="14">
        <f>SQRT(B98^2*Inputs!$D$7^2+C98^2*Inputs!$D$12^2+2*B98*C98*Inputs!$D$7*Inputs!$D$12*0.5)</f>
        <v>0.24055612650689237</v>
      </c>
      <c r="G98" s="14">
        <f>SQRT(B98^2*Inputs!$D$7^2+C98^2*Inputs!$D$12^2+2*B98*C98*Inputs!$D$7*Inputs!$D$12*0)</f>
        <v>0.23757577738481675</v>
      </c>
      <c r="H98" s="14">
        <f>SQRT(B98^2*Inputs!$D$7^2+C98^2*Inputs!$D$12^2+2*B98*C98*Inputs!$D$7*Inputs!$D$12*-0.5)</f>
        <v>0.23455756223153415</v>
      </c>
      <c r="I98" s="14">
        <f>SQRT(B98^2*Inputs!$D$7^2+C98^2*Inputs!$D$12^2+2*B98*C98*Inputs!$D$7*Inputs!$D$12*-1)</f>
        <v>0.23150000000000001</v>
      </c>
    </row>
    <row r="99" spans="1:9" x14ac:dyDescent="0.25">
      <c r="A99" s="8">
        <v>97</v>
      </c>
      <c r="B99" s="9">
        <f t="shared" si="4"/>
        <v>0.96</v>
      </c>
      <c r="C99" s="9">
        <f t="shared" ref="C99:C103" si="6">1-B99</f>
        <v>4.0000000000000036E-2</v>
      </c>
      <c r="D99" s="10">
        <f>B99*Inputs!$D$6+C99*Inputs!$D$11</f>
        <v>0.1472</v>
      </c>
      <c r="E99" s="9">
        <f>SQRT(B99^2*Inputs!$D$7^2+C99^2*Inputs!$D$12^2+2*B99*C99*Inputs!$D$7*Inputs!$D$12*1)</f>
        <v>0.24479999999999999</v>
      </c>
      <c r="F99" s="9">
        <f>SQRT(B99^2*Inputs!$D$7^2+C99^2*Inputs!$D$12^2+2*B99*C99*Inputs!$D$7*Inputs!$D$12*0.5)</f>
        <v>0.24243564094414832</v>
      </c>
      <c r="G99" s="9">
        <f>SQRT(B99^2*Inputs!$D$7^2+C99^2*Inputs!$D$12^2+2*B99*C99*Inputs!$D$7*Inputs!$D$12*0)</f>
        <v>0.24004799520095976</v>
      </c>
      <c r="H99" s="9">
        <f>SQRT(B99^2*Inputs!$D$7^2+C99^2*Inputs!$D$12^2+2*B99*C99*Inputs!$D$7*Inputs!$D$12*-0.5)</f>
        <v>0.23763636085414203</v>
      </c>
      <c r="I99" s="9">
        <f>SQRT(B99^2*Inputs!$D$7^2+C99^2*Inputs!$D$12^2+2*B99*C99*Inputs!$D$7*Inputs!$D$12*-1)</f>
        <v>0.23519999999999999</v>
      </c>
    </row>
    <row r="100" spans="1:9" x14ac:dyDescent="0.25">
      <c r="A100" s="8">
        <v>98</v>
      </c>
      <c r="B100" s="14">
        <f t="shared" si="4"/>
        <v>0.97</v>
      </c>
      <c r="C100" s="14">
        <f t="shared" si="6"/>
        <v>3.0000000000000027E-2</v>
      </c>
      <c r="D100" s="7">
        <f>B100*Inputs!$D$6+C100*Inputs!$D$11</f>
        <v>0.1479</v>
      </c>
      <c r="E100" s="14">
        <f>SQRT(B100^2*Inputs!$D$7^2+C100^2*Inputs!$D$12^2+2*B100*C100*Inputs!$D$7*Inputs!$D$12*1)</f>
        <v>0.24610000000000001</v>
      </c>
      <c r="F100" s="14">
        <f>SQRT(B100^2*Inputs!$D$7^2+C100^2*Inputs!$D$12^2+2*B100*C100*Inputs!$D$7*Inputs!$D$12*0.5)</f>
        <v>0.24431989276356519</v>
      </c>
      <c r="G100" s="14">
        <f>SQRT(B100^2*Inputs!$D$7^2+C100^2*Inputs!$D$12^2+2*B100*C100*Inputs!$D$7*Inputs!$D$12*0)</f>
        <v>0.2425267201773858</v>
      </c>
      <c r="H100" s="14">
        <f>SQRT(B100^2*Inputs!$D$7^2+C100^2*Inputs!$D$12^2+2*B100*C100*Inputs!$D$7*Inputs!$D$12*-0.5)</f>
        <v>0.24072019026247049</v>
      </c>
      <c r="I100" s="14">
        <f>SQRT(B100^2*Inputs!$D$7^2+C100^2*Inputs!$D$12^2+2*B100*C100*Inputs!$D$7*Inputs!$D$12*-1)</f>
        <v>0.23889999999999997</v>
      </c>
    </row>
    <row r="101" spans="1:9" x14ac:dyDescent="0.25">
      <c r="A101" s="8">
        <v>99</v>
      </c>
      <c r="B101" s="9">
        <f t="shared" si="4"/>
        <v>0.98</v>
      </c>
      <c r="C101" s="9">
        <f t="shared" si="6"/>
        <v>2.0000000000000018E-2</v>
      </c>
      <c r="D101" s="10">
        <f>B101*Inputs!$D$6+C101*Inputs!$D$11</f>
        <v>0.14859999999999998</v>
      </c>
      <c r="E101" s="9">
        <f>SQRT(B101^2*Inputs!$D$7^2+C101^2*Inputs!$D$12^2+2*B101*C101*Inputs!$D$7*Inputs!$D$12*1)</f>
        <v>0.24740000000000001</v>
      </c>
      <c r="F101" s="9">
        <f>SQRT(B101^2*Inputs!$D$7^2+C101^2*Inputs!$D$12^2+2*B101*C101*Inputs!$D$7*Inputs!$D$12*0.5)</f>
        <v>0.24620877319868192</v>
      </c>
      <c r="G101" s="9">
        <f>SQRT(B101^2*Inputs!$D$7^2+C101^2*Inputs!$D$12^2+2*B101*C101*Inputs!$D$7*Inputs!$D$12*0)</f>
        <v>0.24501175482004939</v>
      </c>
      <c r="H101" s="9">
        <f>SQRT(B101^2*Inputs!$D$7^2+C101^2*Inputs!$D$12^2+2*B101*C101*Inputs!$D$7*Inputs!$D$12*-0.5)</f>
        <v>0.24380885956010703</v>
      </c>
      <c r="I101" s="9">
        <f>SQRT(B101^2*Inputs!$D$7^2+C101^2*Inputs!$D$12^2+2*B101*C101*Inputs!$D$7*Inputs!$D$12*-1)</f>
        <v>0.24259999999999998</v>
      </c>
    </row>
    <row r="102" spans="1:9" x14ac:dyDescent="0.25">
      <c r="A102" s="8">
        <v>100</v>
      </c>
      <c r="B102" s="14">
        <f t="shared" si="4"/>
        <v>0.99</v>
      </c>
      <c r="C102" s="14">
        <f t="shared" si="6"/>
        <v>1.0000000000000009E-2</v>
      </c>
      <c r="D102" s="7">
        <f>B102*Inputs!$D$6+C102*Inputs!$D$11</f>
        <v>0.14929999999999999</v>
      </c>
      <c r="E102" s="14">
        <f>SQRT(B102^2*Inputs!$D$7^2+C102^2*Inputs!$D$12^2+2*B102*C102*Inputs!$D$7*Inputs!$D$12*1)</f>
        <v>0.24869999999999998</v>
      </c>
      <c r="F102" s="14">
        <f>SQRT(B102^2*Inputs!$D$7^2+C102^2*Inputs!$D$12^2+2*B102*C102*Inputs!$D$7*Inputs!$D$12*0.5)</f>
        <v>0.2481021765321699</v>
      </c>
      <c r="G102" s="14">
        <f>SQRT(B102^2*Inputs!$D$7^2+C102^2*Inputs!$D$12^2+2*B102*C102*Inputs!$D$7*Inputs!$D$12*0)</f>
        <v>0.2475029090738127</v>
      </c>
      <c r="H102" s="14">
        <f>SQRT(B102^2*Inputs!$D$7^2+C102^2*Inputs!$D$12^2+2*B102*C102*Inputs!$D$7*Inputs!$D$12*-0.5)</f>
        <v>0.24690218711060458</v>
      </c>
      <c r="I102" s="14">
        <f>SQRT(B102^2*Inputs!$D$7^2+C102^2*Inputs!$D$12^2+2*B102*C102*Inputs!$D$7*Inputs!$D$12*-1)</f>
        <v>0.24629999999999999</v>
      </c>
    </row>
    <row r="103" spans="1:9" x14ac:dyDescent="0.25">
      <c r="A103" s="8">
        <v>101</v>
      </c>
      <c r="B103" s="9">
        <f t="shared" si="4"/>
        <v>1</v>
      </c>
      <c r="C103" s="9">
        <f t="shared" si="6"/>
        <v>0</v>
      </c>
      <c r="D103" s="10">
        <f>B103*Inputs!$D$6+C103*Inputs!$D$11</f>
        <v>0.15</v>
      </c>
      <c r="E103" s="9">
        <f>SQRT(B103^2*Inputs!$D$7^2+C103^2*Inputs!$D$12^2+2*B103*C103*Inputs!$D$7*Inputs!$D$12*1)</f>
        <v>0.25</v>
      </c>
      <c r="F103" s="9">
        <f>SQRT(B103^2*Inputs!$D$7^2+C103^2*Inputs!$D$12^2+2*B103*C103*Inputs!$D$7*Inputs!$D$12*0.5)</f>
        <v>0.25</v>
      </c>
      <c r="G103" s="9">
        <f>SQRT(B103^2*Inputs!$D$7^2+C103^2*Inputs!$D$12^2+2*B103*C103*Inputs!$D$7*Inputs!$D$12*0)</f>
        <v>0.25</v>
      </c>
      <c r="H103" s="9">
        <f>SQRT(B103^2*Inputs!$D$7^2+C103^2*Inputs!$D$12^2+2*B103*C103*Inputs!$D$7*Inputs!$D$12*-0.5)</f>
        <v>0.25</v>
      </c>
      <c r="I103" s="9">
        <f>SQRT(B103^2*Inputs!$D$7^2+C103^2*Inputs!$D$12^2+2*B103*C103*Inputs!$D$7*Inputs!$D$12*-1)</f>
        <v>0.25</v>
      </c>
    </row>
    <row r="110" spans="1:9" ht="27.75" customHeight="1" x14ac:dyDescent="0.25">
      <c r="A110" s="50" t="s">
        <v>93</v>
      </c>
      <c r="B110" s="50"/>
      <c r="C110" s="50"/>
      <c r="D110" s="50"/>
      <c r="E110" s="50"/>
      <c r="F110" s="50"/>
      <c r="G110" s="50"/>
      <c r="H110" s="50"/>
      <c r="I110" s="50"/>
    </row>
    <row r="112" spans="1:9" ht="27.75" customHeight="1" x14ac:dyDescent="0.25">
      <c r="A112" s="51" t="s">
        <v>94</v>
      </c>
      <c r="B112" s="51"/>
      <c r="C112" s="51"/>
      <c r="D112" s="51"/>
      <c r="E112" s="51"/>
      <c r="F112" s="51"/>
      <c r="G112" s="51"/>
      <c r="H112" s="51"/>
      <c r="I112" s="51"/>
    </row>
    <row r="114" spans="1:9" ht="27.75" customHeight="1" x14ac:dyDescent="0.25">
      <c r="A114" s="52" t="s">
        <v>95</v>
      </c>
      <c r="B114" s="52"/>
      <c r="C114" s="52"/>
      <c r="D114" s="52"/>
      <c r="E114" s="52"/>
      <c r="F114" s="52"/>
      <c r="G114" s="52"/>
      <c r="H114" s="52"/>
      <c r="I114" s="52"/>
    </row>
    <row r="116" spans="1:9" ht="27.75" customHeight="1" x14ac:dyDescent="0.25">
      <c r="A116" s="53" t="s">
        <v>96</v>
      </c>
      <c r="B116" s="53"/>
      <c r="C116" s="53"/>
      <c r="D116" s="53"/>
      <c r="E116" s="53"/>
      <c r="F116" s="53"/>
      <c r="G116" s="53"/>
      <c r="H116" s="53"/>
      <c r="I116" s="53"/>
    </row>
    <row r="118" spans="1:9" ht="27.75" customHeight="1" x14ac:dyDescent="0.25">
      <c r="A118" s="49" t="s">
        <v>97</v>
      </c>
      <c r="B118" s="49"/>
      <c r="C118" s="49"/>
      <c r="D118" s="49"/>
      <c r="E118" s="49"/>
      <c r="F118" s="49"/>
      <c r="G118" s="49"/>
      <c r="H118" s="49"/>
      <c r="I118" s="49"/>
    </row>
  </sheetData>
  <sheetProtection algorithmName="SHA-512" hashValue="h3nF+wsPZK0ofE1TOLK+H7tPvs0lj3fx3BRIYKvRqbKE6tN4SyepllvxM1Px5hca9rZaRsUAo6+OfPdMoZWjtA==" saltValue="3dCrLrUQQaXD4g7d/v6U9A==" spinCount="100000" sheet="1" objects="1" scenarios="1"/>
  <mergeCells count="6">
    <mergeCell ref="A118:I118"/>
    <mergeCell ref="A1:I1"/>
    <mergeCell ref="A110:I110"/>
    <mergeCell ref="A112:I112"/>
    <mergeCell ref="A114:I114"/>
    <mergeCell ref="A116:I116"/>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B1:E29"/>
  <sheetViews>
    <sheetView showGridLines="0" zoomScaleNormal="100" workbookViewId="0"/>
  </sheetViews>
  <sheetFormatPr defaultColWidth="8.7109375" defaultRowHeight="15" x14ac:dyDescent="0.25"/>
  <cols>
    <col min="1" max="1" width="2" customWidth="1"/>
    <col min="2" max="2" width="4" customWidth="1"/>
    <col min="3" max="3" width="44" customWidth="1"/>
    <col min="4" max="4" width="18" customWidth="1"/>
    <col min="5" max="5" width="20" customWidth="1"/>
    <col min="6" max="6" width="2" customWidth="1"/>
  </cols>
  <sheetData>
    <row r="1" spans="2:5" ht="27.75" customHeight="1" x14ac:dyDescent="0.25">
      <c r="B1" s="44" t="s">
        <v>98</v>
      </c>
      <c r="C1" s="44"/>
      <c r="D1" s="44"/>
      <c r="E1" s="44"/>
    </row>
    <row r="3" spans="2:5" ht="19.5" customHeight="1" x14ac:dyDescent="0.25">
      <c r="B3" s="42" t="s">
        <v>99</v>
      </c>
      <c r="C3" s="42"/>
      <c r="D3" s="42"/>
      <c r="E3" s="42"/>
    </row>
    <row r="4" spans="2:5" x14ac:dyDescent="0.25">
      <c r="C4" s="1" t="s">
        <v>100</v>
      </c>
      <c r="D4" s="7">
        <f>Inputs!$D$6</f>
        <v>0.15</v>
      </c>
    </row>
    <row r="5" spans="2:5" x14ac:dyDescent="0.25">
      <c r="C5" s="1" t="s">
        <v>101</v>
      </c>
      <c r="D5" s="7">
        <f>Inputs!$D$7</f>
        <v>0.25</v>
      </c>
    </row>
    <row r="6" spans="2:5" x14ac:dyDescent="0.25">
      <c r="C6" s="1" t="s">
        <v>102</v>
      </c>
      <c r="D6" s="7">
        <f>Inputs!$D$11</f>
        <v>0.08</v>
      </c>
    </row>
    <row r="7" spans="2:5" x14ac:dyDescent="0.25">
      <c r="C7" s="1" t="s">
        <v>103</v>
      </c>
      <c r="D7" s="7">
        <f>Inputs!$D$12</f>
        <v>0.12</v>
      </c>
    </row>
    <row r="8" spans="2:5" x14ac:dyDescent="0.25">
      <c r="C8" s="1" t="s">
        <v>104</v>
      </c>
      <c r="D8" s="18">
        <f>Inputs!$D$15</f>
        <v>0.3</v>
      </c>
    </row>
    <row r="10" spans="2:5" ht="19.5" customHeight="1" x14ac:dyDescent="0.25">
      <c r="B10" s="42" t="s">
        <v>105</v>
      </c>
      <c r="C10" s="42"/>
      <c r="D10" s="42"/>
      <c r="E10" s="42"/>
    </row>
    <row r="11" spans="2:5" x14ac:dyDescent="0.25">
      <c r="C11" s="1" t="s">
        <v>106</v>
      </c>
      <c r="D11" s="15">
        <f>Inputs!$D$15*Inputs!$D$7*Inputs!$D$12</f>
        <v>8.9999999999999993E-3</v>
      </c>
      <c r="E11" s="1" t="s">
        <v>107</v>
      </c>
    </row>
    <row r="13" spans="2:5" ht="19.5" customHeight="1" x14ac:dyDescent="0.25">
      <c r="B13" s="42" t="s">
        <v>108</v>
      </c>
      <c r="C13" s="42"/>
      <c r="D13" s="42"/>
      <c r="E13" s="42"/>
    </row>
    <row r="14" spans="2:5" ht="21.75" customHeight="1" x14ac:dyDescent="0.25">
      <c r="C14" s="54" t="s">
        <v>109</v>
      </c>
      <c r="D14" s="54"/>
      <c r="E14" s="54"/>
    </row>
    <row r="15" spans="2:5" x14ac:dyDescent="0.25">
      <c r="C15" s="1" t="s">
        <v>110</v>
      </c>
      <c r="D15" s="7">
        <f>(Inputs!$D$12^2-D11)/(Inputs!$D$7^2+Inputs!$D$12^2-2*D11)</f>
        <v>9.1680814940577268E-2</v>
      </c>
      <c r="E15" s="1" t="s">
        <v>111</v>
      </c>
    </row>
    <row r="16" spans="2:5" x14ac:dyDescent="0.25">
      <c r="C16" s="1" t="s">
        <v>112</v>
      </c>
      <c r="D16" s="7">
        <f>1-D15</f>
        <v>0.90831918505942277</v>
      </c>
      <c r="E16" s="1" t="s">
        <v>113</v>
      </c>
    </row>
    <row r="18" spans="2:5" ht="19.5" customHeight="1" x14ac:dyDescent="0.25">
      <c r="B18" s="42" t="s">
        <v>114</v>
      </c>
      <c r="C18" s="42"/>
      <c r="D18" s="42"/>
      <c r="E18" s="42"/>
    </row>
    <row r="19" spans="2:5" x14ac:dyDescent="0.25">
      <c r="C19" s="1" t="s">
        <v>115</v>
      </c>
      <c r="D19" s="14">
        <f>D15*D4+D16*D6</f>
        <v>8.641765704584041E-2</v>
      </c>
    </row>
    <row r="20" spans="2:5" x14ac:dyDescent="0.25">
      <c r="C20" s="1" t="s">
        <v>116</v>
      </c>
      <c r="D20" s="19">
        <f>D15^2*D5^2+D16^2*D7^2+2*D15*D16*D11</f>
        <v>1.3904923599320882E-2</v>
      </c>
    </row>
    <row r="21" spans="2:5" x14ac:dyDescent="0.25">
      <c r="C21" s="1" t="s">
        <v>117</v>
      </c>
      <c r="D21" s="14">
        <f>SQRT(D20)</f>
        <v>0.1179191400889647</v>
      </c>
    </row>
    <row r="22" spans="2:5" x14ac:dyDescent="0.25">
      <c r="C22" s="1" t="s">
        <v>118</v>
      </c>
      <c r="D22" s="16">
        <f>(D19-Inputs!$D$22)/D21</f>
        <v>0.30883584309014567</v>
      </c>
    </row>
    <row r="24" spans="2:5" ht="19.5" customHeight="1" x14ac:dyDescent="0.25">
      <c r="B24" s="42" t="s">
        <v>119</v>
      </c>
      <c r="C24" s="42"/>
      <c r="D24" s="42"/>
      <c r="E24" s="42"/>
    </row>
    <row r="25" spans="2:5" x14ac:dyDescent="0.25">
      <c r="C25" s="1" t="s">
        <v>120</v>
      </c>
      <c r="D25" s="14">
        <f>MIN('Two-Asset Frontier Calculations'!$G$3:$G$103)</f>
        <v>0.11791984565797227</v>
      </c>
      <c r="E25" s="20">
        <f>MIN('Two-Asset Frontier Calculations'!G3:G103)</f>
        <v>0.11791984565797227</v>
      </c>
    </row>
    <row r="26" spans="2:5" x14ac:dyDescent="0.25">
      <c r="C26" s="1" t="s">
        <v>121</v>
      </c>
      <c r="D26" s="14">
        <f>INDEX('Two-Asset Frontier Calculations'!$D$3:$D$103,MATCH(MIN('Two-Asset Frontier Calculations'!$G$3:$G$103),'Two-Asset Frontier Calculations'!$G$3:$G$103,0))</f>
        <v>8.6300000000000002E-2</v>
      </c>
      <c r="E26" s="1" t="s">
        <v>122</v>
      </c>
    </row>
    <row r="27" spans="2:5" x14ac:dyDescent="0.25">
      <c r="C27" s="1" t="s">
        <v>123</v>
      </c>
      <c r="D27" s="19">
        <f>D21-D25</f>
        <v>-7.0556900756690855E-7</v>
      </c>
      <c r="E27" s="1" t="s">
        <v>124</v>
      </c>
    </row>
    <row r="29" spans="2:5" ht="72" customHeight="1" x14ac:dyDescent="0.25">
      <c r="B29" s="48" t="s">
        <v>125</v>
      </c>
      <c r="C29" s="48"/>
      <c r="D29" s="48"/>
      <c r="E29" s="48"/>
    </row>
  </sheetData>
  <sheetProtection algorithmName="SHA-512" hashValue="W4zZTK2eWG9z0Fs2scpQr36NZyK2vxncWofnwnx364nxCK5jmD+nahCC6znErPdks2jYEBAwlSPEPsCLx2rwfw==" saltValue="73wMhu8V0lvu6lv1XWu+vw==" spinCount="100000" sheet="1" objects="1" scenarios="1"/>
  <mergeCells count="8">
    <mergeCell ref="B18:E18"/>
    <mergeCell ref="B24:E24"/>
    <mergeCell ref="B29:E29"/>
    <mergeCell ref="B1:E1"/>
    <mergeCell ref="B3:E3"/>
    <mergeCell ref="B10:E10"/>
    <mergeCell ref="B13:E13"/>
    <mergeCell ref="C14:E14"/>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8C00"/>
  </sheetPr>
  <dimension ref="B1:K33"/>
  <sheetViews>
    <sheetView showGridLines="0" zoomScaleNormal="100" workbookViewId="0">
      <selection activeCell="I26" sqref="I26"/>
    </sheetView>
  </sheetViews>
  <sheetFormatPr defaultColWidth="8.7109375" defaultRowHeight="15" x14ac:dyDescent="0.25"/>
  <cols>
    <col min="1" max="1" width="2" customWidth="1"/>
    <col min="2" max="2" width="4" customWidth="1"/>
    <col min="3" max="3" width="44" customWidth="1"/>
    <col min="4" max="4" width="18" customWidth="1"/>
    <col min="5" max="5" width="4" customWidth="1"/>
    <col min="6" max="9" width="14" customWidth="1"/>
    <col min="10" max="10" width="16" customWidth="1"/>
    <col min="11" max="11" width="2" customWidth="1"/>
  </cols>
  <sheetData>
    <row r="1" spans="2:10" ht="27.75" customHeight="1" x14ac:dyDescent="0.25">
      <c r="B1" s="44" t="s">
        <v>126</v>
      </c>
      <c r="C1" s="44"/>
      <c r="D1" s="44"/>
      <c r="E1" s="44"/>
      <c r="F1" s="44"/>
      <c r="G1" s="44"/>
      <c r="H1" s="44"/>
      <c r="I1" s="44"/>
      <c r="J1" s="44"/>
    </row>
    <row r="3" spans="2:10" ht="19.5" customHeight="1" x14ac:dyDescent="0.25">
      <c r="B3" s="42" t="s">
        <v>127</v>
      </c>
      <c r="C3" s="42"/>
      <c r="D3" s="42"/>
    </row>
    <row r="4" spans="2:10" x14ac:dyDescent="0.25">
      <c r="C4" s="1" t="s">
        <v>128</v>
      </c>
      <c r="D4" s="16">
        <f>MAX('Two-Asset Frontier Calculations'!$I$3:$I$103)</f>
        <v>0.42257190085023155</v>
      </c>
    </row>
    <row r="5" spans="2:10" x14ac:dyDescent="0.25">
      <c r="C5" s="1" t="s">
        <v>129</v>
      </c>
      <c r="D5" s="14">
        <f>INDEX('Two-Asset Frontier Calculations'!$B$3:$B$103,MATCH(MAX('Two-Asset Frontier Calculations'!$I$3:$I$103),'Two-Asset Frontier Calculations'!$I$3:$I$103,0))</f>
        <v>0.55000000000000004</v>
      </c>
    </row>
    <row r="6" spans="2:10" x14ac:dyDescent="0.25">
      <c r="C6" s="1" t="s">
        <v>130</v>
      </c>
      <c r="D6" s="14">
        <f>1-D5</f>
        <v>0.44999999999999996</v>
      </c>
    </row>
    <row r="7" spans="2:10" x14ac:dyDescent="0.25">
      <c r="C7" s="1" t="s">
        <v>131</v>
      </c>
      <c r="D7" s="14">
        <f>D5*Inputs!$D$6+(1-D5)*Inputs!$D$11</f>
        <v>0.11849999999999999</v>
      </c>
    </row>
    <row r="8" spans="2:10" x14ac:dyDescent="0.25">
      <c r="C8" s="1" t="s">
        <v>132</v>
      </c>
      <c r="D8" s="14">
        <f>INDEX('Two-Asset Frontier Calculations'!$G$3:$G$103,MATCH(MAX('Two-Asset Frontier Calculations'!$I$3:$I$103),'Two-Asset Frontier Calculations'!$I$3:$I$103,0))</f>
        <v>0.16210259097250729</v>
      </c>
    </row>
    <row r="9" spans="2:10" x14ac:dyDescent="0.25">
      <c r="C9" s="1" t="s">
        <v>133</v>
      </c>
      <c r="D9" s="16">
        <f>(D7-Inputs!$D$22)/D8</f>
        <v>0.42257190085023155</v>
      </c>
    </row>
    <row r="10" spans="2:10" x14ac:dyDescent="0.25">
      <c r="C10" s="1" t="s">
        <v>52</v>
      </c>
      <c r="D10" s="14">
        <f>Inputs!$D$22</f>
        <v>0.05</v>
      </c>
    </row>
    <row r="12" spans="2:10" ht="79.5" customHeight="1" x14ac:dyDescent="0.25">
      <c r="B12" s="48" t="s">
        <v>134</v>
      </c>
      <c r="C12" s="48"/>
      <c r="D12" s="48"/>
    </row>
    <row r="14" spans="2:10" ht="19.5" customHeight="1" x14ac:dyDescent="0.25">
      <c r="B14" s="42" t="s">
        <v>135</v>
      </c>
      <c r="C14" s="42"/>
      <c r="D14" s="42"/>
      <c r="E14" s="42"/>
      <c r="F14" s="42"/>
      <c r="G14" s="42"/>
      <c r="H14" s="42"/>
      <c r="I14" s="42"/>
      <c r="J14" s="42"/>
    </row>
    <row r="15" spans="2:10" ht="36" customHeight="1" x14ac:dyDescent="0.25">
      <c r="F15" s="2" t="s">
        <v>136</v>
      </c>
      <c r="G15" s="2" t="s">
        <v>137</v>
      </c>
      <c r="H15" s="2" t="s">
        <v>138</v>
      </c>
      <c r="I15" s="2" t="s">
        <v>139</v>
      </c>
      <c r="J15" s="2" t="s">
        <v>140</v>
      </c>
    </row>
    <row r="16" spans="2:10" x14ac:dyDescent="0.25">
      <c r="F16" s="21">
        <v>0</v>
      </c>
      <c r="G16" s="14">
        <f t="shared" ref="G16:G31" si="0">1-F16</f>
        <v>1</v>
      </c>
      <c r="H16" s="14">
        <f>Inputs!$D$22+F16*(D7-Inputs!$D$22)</f>
        <v>0.05</v>
      </c>
      <c r="I16" s="14">
        <f>F16*D8</f>
        <v>0</v>
      </c>
      <c r="J16" s="22" t="s">
        <v>141</v>
      </c>
    </row>
    <row r="17" spans="6:10" x14ac:dyDescent="0.25">
      <c r="F17" s="14">
        <f t="shared" ref="F17:F31" si="1">F16+0.1</f>
        <v>0.1</v>
      </c>
      <c r="G17" s="14">
        <f t="shared" si="0"/>
        <v>0.9</v>
      </c>
      <c r="H17" s="14">
        <f>Inputs!$D$22+F17*(D7-Inputs!$D$22)</f>
        <v>5.6850000000000005E-2</v>
      </c>
      <c r="I17" s="14">
        <f>F17*D8</f>
        <v>1.6210259097250729E-2</v>
      </c>
      <c r="J17" s="22" t="s">
        <v>141</v>
      </c>
    </row>
    <row r="18" spans="6:10" x14ac:dyDescent="0.25">
      <c r="F18" s="14">
        <f t="shared" si="1"/>
        <v>0.2</v>
      </c>
      <c r="G18" s="14">
        <f t="shared" si="0"/>
        <v>0.8</v>
      </c>
      <c r="H18" s="14">
        <f>Inputs!$D$22+F18*(D7-Inputs!$D$22)</f>
        <v>6.3700000000000007E-2</v>
      </c>
      <c r="I18" s="14">
        <f>F18*D8</f>
        <v>3.2420518194501459E-2</v>
      </c>
      <c r="J18" s="22" t="s">
        <v>141</v>
      </c>
    </row>
    <row r="19" spans="6:10" x14ac:dyDescent="0.25">
      <c r="F19" s="14">
        <f t="shared" si="1"/>
        <v>0.30000000000000004</v>
      </c>
      <c r="G19" s="14">
        <f t="shared" si="0"/>
        <v>0.7</v>
      </c>
      <c r="H19" s="14">
        <f>Inputs!$D$22+F19*(D7-Inputs!$D$22)</f>
        <v>7.0550000000000002E-2</v>
      </c>
      <c r="I19" s="14">
        <f>F19*D8</f>
        <v>4.8630777291752192E-2</v>
      </c>
      <c r="J19" s="22" t="s">
        <v>141</v>
      </c>
    </row>
    <row r="20" spans="6:10" x14ac:dyDescent="0.25">
      <c r="F20" s="14">
        <f t="shared" si="1"/>
        <v>0.4</v>
      </c>
      <c r="G20" s="14">
        <f t="shared" si="0"/>
        <v>0.6</v>
      </c>
      <c r="H20" s="14">
        <f>Inputs!$D$22+F20*(D7-Inputs!$D$22)</f>
        <v>7.7399999999999997E-2</v>
      </c>
      <c r="I20" s="14">
        <f>F20*D8</f>
        <v>6.4841036389002918E-2</v>
      </c>
      <c r="J20" s="22" t="s">
        <v>141</v>
      </c>
    </row>
    <row r="21" spans="6:10" x14ac:dyDescent="0.25">
      <c r="F21" s="14">
        <f t="shared" si="1"/>
        <v>0.5</v>
      </c>
      <c r="G21" s="14">
        <f t="shared" si="0"/>
        <v>0.5</v>
      </c>
      <c r="H21" s="14">
        <f>Inputs!$D$22+F21*(D7-Inputs!$D$22)</f>
        <v>8.4249999999999992E-2</v>
      </c>
      <c r="I21" s="14">
        <f>F21*D8</f>
        <v>8.1051295486253644E-2</v>
      </c>
      <c r="J21" s="22" t="s">
        <v>141</v>
      </c>
    </row>
    <row r="22" spans="6:10" x14ac:dyDescent="0.25">
      <c r="F22" s="14">
        <f t="shared" si="1"/>
        <v>0.6</v>
      </c>
      <c r="G22" s="14">
        <f t="shared" si="0"/>
        <v>0.4</v>
      </c>
      <c r="H22" s="14">
        <f>Inputs!$D$22+F22*(D7-Inputs!$D$22)</f>
        <v>9.1099999999999987E-2</v>
      </c>
      <c r="I22" s="14">
        <f>F22*D8</f>
        <v>9.726155458350437E-2</v>
      </c>
      <c r="J22" s="22" t="s">
        <v>141</v>
      </c>
    </row>
    <row r="23" spans="6:10" x14ac:dyDescent="0.25">
      <c r="F23" s="14">
        <f t="shared" si="1"/>
        <v>0.7</v>
      </c>
      <c r="G23" s="14">
        <f t="shared" si="0"/>
        <v>0.30000000000000004</v>
      </c>
      <c r="H23" s="14">
        <f>Inputs!$D$22+F23*(D7-Inputs!$D$22)</f>
        <v>9.7949999999999995E-2</v>
      </c>
      <c r="I23" s="14">
        <f>F23*D8</f>
        <v>0.1134718136807551</v>
      </c>
      <c r="J23" s="22" t="s">
        <v>141</v>
      </c>
    </row>
    <row r="24" spans="6:10" x14ac:dyDescent="0.25">
      <c r="F24" s="14">
        <f t="shared" si="1"/>
        <v>0.79999999999999993</v>
      </c>
      <c r="G24" s="14">
        <f t="shared" si="0"/>
        <v>0.20000000000000007</v>
      </c>
      <c r="H24" s="14">
        <f>Inputs!$D$22+F24*(D7-Inputs!$D$22)</f>
        <v>0.10479999999999999</v>
      </c>
      <c r="I24" s="14">
        <f>F24*D8</f>
        <v>0.12968207277800581</v>
      </c>
      <c r="J24" s="22" t="s">
        <v>141</v>
      </c>
    </row>
    <row r="25" spans="6:10" x14ac:dyDescent="0.25">
      <c r="F25" s="14">
        <f t="shared" si="1"/>
        <v>0.89999999999999991</v>
      </c>
      <c r="G25" s="14">
        <f t="shared" si="0"/>
        <v>0.10000000000000009</v>
      </c>
      <c r="H25" s="14">
        <f>Inputs!$D$22+F25*(D7-Inputs!$D$22)</f>
        <v>0.11165</v>
      </c>
      <c r="I25" s="14">
        <f>F25*D8</f>
        <v>0.14589233187525655</v>
      </c>
      <c r="J25" s="22" t="s">
        <v>141</v>
      </c>
    </row>
    <row r="26" spans="6:10" x14ac:dyDescent="0.25">
      <c r="F26" s="14">
        <f t="shared" si="1"/>
        <v>0.99999999999999989</v>
      </c>
      <c r="G26" s="14">
        <f t="shared" si="0"/>
        <v>0</v>
      </c>
      <c r="H26" s="14">
        <f>Inputs!$D$22+F26*(D7-Inputs!$D$22)</f>
        <v>0.11849999999999998</v>
      </c>
      <c r="I26" s="14">
        <f>F26*D8</f>
        <v>0.16210259097250726</v>
      </c>
      <c r="J26" s="23" t="s">
        <v>142</v>
      </c>
    </row>
    <row r="27" spans="6:10" x14ac:dyDescent="0.25">
      <c r="F27" s="14">
        <f t="shared" si="1"/>
        <v>1.0999999999999999</v>
      </c>
      <c r="G27" s="14">
        <f t="shared" si="0"/>
        <v>-9.9999999999999867E-2</v>
      </c>
      <c r="H27" s="14">
        <f>Inputs!$D$22+F27*(D7-Inputs!$D$22)</f>
        <v>0.12534999999999999</v>
      </c>
      <c r="I27" s="14">
        <f>F27*D8</f>
        <v>0.178312850069758</v>
      </c>
      <c r="J27" s="24" t="s">
        <v>143</v>
      </c>
    </row>
    <row r="28" spans="6:10" x14ac:dyDescent="0.25">
      <c r="F28" s="14">
        <f t="shared" si="1"/>
        <v>1.2</v>
      </c>
      <c r="G28" s="14">
        <f t="shared" si="0"/>
        <v>-0.19999999999999996</v>
      </c>
      <c r="H28" s="14">
        <f>Inputs!$D$22+F28*(D7-Inputs!$D$22)</f>
        <v>0.13219999999999998</v>
      </c>
      <c r="I28" s="14">
        <f>F28*D8</f>
        <v>0.19452310916700874</v>
      </c>
      <c r="J28" s="24" t="s">
        <v>143</v>
      </c>
    </row>
    <row r="29" spans="6:10" x14ac:dyDescent="0.25">
      <c r="F29" s="14">
        <f t="shared" si="1"/>
        <v>1.3</v>
      </c>
      <c r="G29" s="14">
        <f t="shared" si="0"/>
        <v>-0.30000000000000004</v>
      </c>
      <c r="H29" s="14">
        <f>Inputs!$D$22+F29*(D7-Inputs!$D$22)</f>
        <v>0.13905000000000001</v>
      </c>
      <c r="I29" s="14">
        <f>F29*D8</f>
        <v>0.21073336826425948</v>
      </c>
      <c r="J29" s="24" t="s">
        <v>143</v>
      </c>
    </row>
    <row r="30" spans="6:10" x14ac:dyDescent="0.25">
      <c r="F30" s="14">
        <f t="shared" si="1"/>
        <v>1.4000000000000001</v>
      </c>
      <c r="G30" s="14">
        <f t="shared" si="0"/>
        <v>-0.40000000000000013</v>
      </c>
      <c r="H30" s="14">
        <f>Inputs!$D$22+F30*(D7-Inputs!$D$22)</f>
        <v>0.1459</v>
      </c>
      <c r="I30" s="14">
        <f>F30*D8</f>
        <v>0.22694362736151022</v>
      </c>
      <c r="J30" s="24" t="s">
        <v>143</v>
      </c>
    </row>
    <row r="31" spans="6:10" x14ac:dyDescent="0.25">
      <c r="F31" s="14">
        <f t="shared" si="1"/>
        <v>1.5000000000000002</v>
      </c>
      <c r="G31" s="14">
        <f t="shared" si="0"/>
        <v>-0.50000000000000022</v>
      </c>
      <c r="H31" s="14">
        <f>Inputs!$D$22+F31*(D7-Inputs!$D$22)</f>
        <v>0.15275</v>
      </c>
      <c r="I31" s="14">
        <f>F31*D8</f>
        <v>0.24315388645876096</v>
      </c>
      <c r="J31" s="24" t="s">
        <v>143</v>
      </c>
    </row>
    <row r="33" spans="9:11" x14ac:dyDescent="0.25">
      <c r="I33" s="25" t="s">
        <v>144</v>
      </c>
      <c r="J33" s="21">
        <v>0</v>
      </c>
      <c r="K33" s="7">
        <f>Inputs!$D$22</f>
        <v>0.05</v>
      </c>
    </row>
  </sheetData>
  <sheetProtection algorithmName="SHA-512" hashValue="wCOx61MVwPEPKnW99O282UQovdxufq+MQJRrJ3v24VNCD5yFM0lSiKEAi9nv70cXZLn9aNU7XTi4OUQZiMn8cQ==" saltValue="vXGWVpGrwCFzutZJTUfARQ==" spinCount="100000" sheet="1" objects="1" scenarios="1"/>
  <mergeCells count="4">
    <mergeCell ref="B1:J1"/>
    <mergeCell ref="B3:D3"/>
    <mergeCell ref="B12:D12"/>
    <mergeCell ref="B14:J14"/>
  </mergeCells>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B1:F17"/>
  <sheetViews>
    <sheetView showGridLines="0" zoomScaleNormal="100" workbookViewId="0">
      <selection activeCell="F22" sqref="F22"/>
    </sheetView>
  </sheetViews>
  <sheetFormatPr defaultColWidth="8.7109375" defaultRowHeight="15" x14ac:dyDescent="0.25"/>
  <cols>
    <col min="1" max="1" width="2" customWidth="1"/>
    <col min="2" max="2" width="4" customWidth="1"/>
    <col min="3" max="3" width="42" customWidth="1"/>
    <col min="4" max="5" width="16" customWidth="1"/>
    <col min="6" max="6" width="28" customWidth="1"/>
    <col min="7" max="7" width="2" customWidth="1"/>
  </cols>
  <sheetData>
    <row r="1" spans="2:6" ht="27.75" customHeight="1" x14ac:dyDescent="0.25">
      <c r="B1" s="44" t="s">
        <v>145</v>
      </c>
      <c r="C1" s="44"/>
      <c r="D1" s="44"/>
      <c r="E1" s="44"/>
      <c r="F1" s="44"/>
    </row>
    <row r="3" spans="2:6" ht="19.5" customHeight="1" x14ac:dyDescent="0.25">
      <c r="B3" s="42" t="s">
        <v>146</v>
      </c>
      <c r="C3" s="42"/>
      <c r="D3" s="42"/>
      <c r="E3" s="42"/>
      <c r="F3" s="42"/>
    </row>
    <row r="4" spans="2:6" x14ac:dyDescent="0.25">
      <c r="C4" s="1" t="s">
        <v>52</v>
      </c>
      <c r="D4" s="7">
        <f>Inputs!$D$22</f>
        <v>0.05</v>
      </c>
    </row>
    <row r="5" spans="2:6" x14ac:dyDescent="0.25">
      <c r="C5" s="1" t="s">
        <v>54</v>
      </c>
      <c r="D5" s="7">
        <f>Inputs!$D$23</f>
        <v>0.12</v>
      </c>
    </row>
    <row r="6" spans="2:6" x14ac:dyDescent="0.25">
      <c r="C6" s="1" t="s">
        <v>147</v>
      </c>
      <c r="D6" s="7">
        <f>Inputs!$D$23-Inputs!$D$22</f>
        <v>6.9999999999999993E-2</v>
      </c>
    </row>
    <row r="8" spans="2:6" ht="19.5" customHeight="1" x14ac:dyDescent="0.25">
      <c r="B8" s="42" t="s">
        <v>148</v>
      </c>
      <c r="C8" s="42"/>
      <c r="D8" s="42"/>
      <c r="E8" s="42"/>
      <c r="F8" s="42"/>
    </row>
    <row r="9" spans="2:6" ht="36" customHeight="1" x14ac:dyDescent="0.25">
      <c r="C9" s="2" t="s">
        <v>149</v>
      </c>
      <c r="D9" s="2" t="s">
        <v>150</v>
      </c>
      <c r="E9" s="2" t="s">
        <v>151</v>
      </c>
      <c r="F9" s="2" t="s">
        <v>152</v>
      </c>
    </row>
    <row r="10" spans="2:6" x14ac:dyDescent="0.25">
      <c r="C10" s="26">
        <v>0.5</v>
      </c>
      <c r="D10" s="22" t="s">
        <v>153</v>
      </c>
      <c r="E10" s="27">
        <f>Inputs!$D$22+0.5*(Inputs!$D$23-Inputs!$D$22)</f>
        <v>8.4999999999999992E-2</v>
      </c>
      <c r="F10" s="22" t="s">
        <v>154</v>
      </c>
    </row>
    <row r="11" spans="2:6" x14ac:dyDescent="0.25">
      <c r="C11" s="26">
        <v>0.75</v>
      </c>
      <c r="D11" s="22" t="s">
        <v>153</v>
      </c>
      <c r="E11" s="27">
        <f>Inputs!$D$22+0.75*(Inputs!$D$23-Inputs!$D$22)</f>
        <v>0.10249999999999999</v>
      </c>
      <c r="F11" s="22" t="s">
        <v>155</v>
      </c>
    </row>
    <row r="12" spans="2:6" x14ac:dyDescent="0.25">
      <c r="C12" s="28">
        <v>1</v>
      </c>
      <c r="D12" s="23" t="s">
        <v>156</v>
      </c>
      <c r="E12" s="29">
        <f>Inputs!$D$22+1*(Inputs!$D$23-Inputs!$D$22)</f>
        <v>0.12</v>
      </c>
      <c r="F12" s="23" t="s">
        <v>157</v>
      </c>
    </row>
    <row r="13" spans="2:6" x14ac:dyDescent="0.25">
      <c r="C13" s="30">
        <v>1.25</v>
      </c>
      <c r="D13" s="24" t="s">
        <v>158</v>
      </c>
      <c r="E13" s="31">
        <f>Inputs!$D$22+1.25*(Inputs!$D$23-Inputs!$D$22)</f>
        <v>0.13750000000000001</v>
      </c>
      <c r="F13" s="24" t="s">
        <v>159</v>
      </c>
    </row>
    <row r="14" spans="2:6" x14ac:dyDescent="0.25">
      <c r="C14" s="30">
        <v>1.5</v>
      </c>
      <c r="D14" s="24" t="s">
        <v>158</v>
      </c>
      <c r="E14" s="31">
        <f>Inputs!$D$22+1.5*(Inputs!$D$23-Inputs!$D$22)</f>
        <v>0.15499999999999997</v>
      </c>
      <c r="F14" s="24" t="s">
        <v>160</v>
      </c>
    </row>
    <row r="15" spans="2:6" x14ac:dyDescent="0.25">
      <c r="C15" s="32">
        <v>2</v>
      </c>
      <c r="D15" s="33" t="s">
        <v>158</v>
      </c>
      <c r="E15" s="34">
        <f>Inputs!$D$22+2*(Inputs!$D$23-Inputs!$D$22)</f>
        <v>0.19</v>
      </c>
      <c r="F15" s="33" t="s">
        <v>161</v>
      </c>
    </row>
    <row r="17" spans="2:6" ht="141" customHeight="1" x14ac:dyDescent="0.25">
      <c r="B17" s="48" t="s">
        <v>162</v>
      </c>
      <c r="C17" s="48"/>
      <c r="D17" s="48"/>
      <c r="E17" s="48"/>
      <c r="F17" s="48"/>
    </row>
  </sheetData>
  <sheetProtection algorithmName="SHA-512" hashValue="YYDVPn/LVY+hOmu5jfzkOFp3uRy8VsKOU+ffjZQPBShFiukhlgU0joELyuVsNchRYUjYTR69CWM6kZpksaIBjg==" saltValue="UXQMpKhFTgvQCNCZdJHAKA==" spinCount="100000" sheet="1" objects="1" scenarios="1"/>
  <mergeCells count="4">
    <mergeCell ref="B1:F1"/>
    <mergeCell ref="B3:F3"/>
    <mergeCell ref="B8:F8"/>
    <mergeCell ref="B17:F17"/>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9A600"/>
  </sheetPr>
  <dimension ref="B1:H42"/>
  <sheetViews>
    <sheetView showGridLines="0" zoomScale="111" zoomScaleNormal="115" workbookViewId="0">
      <selection activeCell="D4" sqref="D4"/>
    </sheetView>
  </sheetViews>
  <sheetFormatPr defaultColWidth="8.7109375" defaultRowHeight="15" x14ac:dyDescent="0.25"/>
  <cols>
    <col min="1" max="1" width="2" customWidth="1"/>
    <col min="2" max="2" width="4" customWidth="1"/>
    <col min="3" max="3" width="28" customWidth="1"/>
    <col min="4" max="4" width="12" customWidth="1"/>
    <col min="5" max="7" width="14" customWidth="1"/>
    <col min="8" max="8" width="24" customWidth="1"/>
    <col min="9" max="9" width="2" customWidth="1"/>
  </cols>
  <sheetData>
    <row r="1" spans="2:8" ht="27.75" customHeight="1" x14ac:dyDescent="0.25">
      <c r="B1" s="44" t="s">
        <v>163</v>
      </c>
      <c r="C1" s="44"/>
      <c r="D1" s="44"/>
      <c r="E1" s="44"/>
      <c r="F1" s="44"/>
      <c r="G1" s="44"/>
      <c r="H1" s="44"/>
    </row>
    <row r="3" spans="2:8" ht="19.5" customHeight="1" x14ac:dyDescent="0.25">
      <c r="B3" s="42" t="s">
        <v>164</v>
      </c>
      <c r="C3" s="42"/>
      <c r="D3" s="42"/>
      <c r="E3" s="42"/>
      <c r="F3" s="42"/>
      <c r="G3" s="42"/>
      <c r="H3" s="42"/>
    </row>
    <row r="4" spans="2:8" x14ac:dyDescent="0.25">
      <c r="C4" s="1" t="s">
        <v>52</v>
      </c>
      <c r="D4" s="7">
        <f>Inputs!$D$22</f>
        <v>0.05</v>
      </c>
    </row>
    <row r="5" spans="2:8" x14ac:dyDescent="0.25">
      <c r="C5" s="1" t="s">
        <v>165</v>
      </c>
      <c r="D5" s="7">
        <v>0.14000000000000001</v>
      </c>
    </row>
    <row r="6" spans="2:8" x14ac:dyDescent="0.25">
      <c r="C6" s="1" t="s">
        <v>147</v>
      </c>
      <c r="D6" s="7">
        <f>Inputs!$D$23-Inputs!$D$22</f>
        <v>6.9999999999999993E-2</v>
      </c>
    </row>
    <row r="8" spans="2:8" ht="19.5" customHeight="1" x14ac:dyDescent="0.25">
      <c r="B8" s="42" t="s">
        <v>166</v>
      </c>
      <c r="C8" s="42"/>
      <c r="D8" s="42"/>
      <c r="E8" s="42"/>
      <c r="F8" s="42"/>
      <c r="G8" s="42"/>
      <c r="H8" s="42"/>
    </row>
    <row r="9" spans="2:8" ht="30" customHeight="1" x14ac:dyDescent="0.25">
      <c r="C9" s="2" t="s">
        <v>149</v>
      </c>
      <c r="D9" s="2" t="s">
        <v>167</v>
      </c>
    </row>
    <row r="10" spans="2:8" x14ac:dyDescent="0.25">
      <c r="C10" s="16">
        <f>0/10</f>
        <v>0</v>
      </c>
      <c r="D10" s="14">
        <f>Inputs!$D$22+(0/10)*(Inputs!$D$23-Inputs!$D$22)</f>
        <v>0.05</v>
      </c>
    </row>
    <row r="11" spans="2:8" x14ac:dyDescent="0.25">
      <c r="C11" s="16">
        <f>1/10</f>
        <v>0.1</v>
      </c>
      <c r="D11" s="14">
        <f>Inputs!$D$22+(1/10)*(Inputs!$D$23-Inputs!$D$22)</f>
        <v>5.7000000000000002E-2</v>
      </c>
    </row>
    <row r="12" spans="2:8" x14ac:dyDescent="0.25">
      <c r="C12" s="16">
        <f>2/10</f>
        <v>0.2</v>
      </c>
      <c r="D12" s="14">
        <f>Inputs!$D$22+(2/10)*(Inputs!$D$23-Inputs!$D$22)</f>
        <v>6.4000000000000001E-2</v>
      </c>
    </row>
    <row r="13" spans="2:8" x14ac:dyDescent="0.25">
      <c r="C13" s="16">
        <f>3/10</f>
        <v>0.3</v>
      </c>
      <c r="D13" s="14">
        <f>Inputs!$D$22+(3/10)*(Inputs!$D$23-Inputs!$D$22)</f>
        <v>7.1000000000000008E-2</v>
      </c>
    </row>
    <row r="14" spans="2:8" x14ac:dyDescent="0.25">
      <c r="C14" s="16">
        <f>4/10</f>
        <v>0.4</v>
      </c>
      <c r="D14" s="14">
        <f>Inputs!$D$22+(4/10)*(Inputs!$D$23-Inputs!$D$22)</f>
        <v>7.8E-2</v>
      </c>
    </row>
    <row r="15" spans="2:8" x14ac:dyDescent="0.25">
      <c r="C15" s="16">
        <f>5/10</f>
        <v>0.5</v>
      </c>
      <c r="D15" s="14">
        <f>Inputs!$D$22+(5/10)*(Inputs!$D$23-Inputs!$D$22)</f>
        <v>8.4999999999999992E-2</v>
      </c>
    </row>
    <row r="16" spans="2:8" x14ac:dyDescent="0.25">
      <c r="C16" s="16">
        <f>6/10</f>
        <v>0.6</v>
      </c>
      <c r="D16" s="14">
        <f>Inputs!$D$22+(6/10)*(Inputs!$D$23-Inputs!$D$22)</f>
        <v>9.1999999999999998E-2</v>
      </c>
    </row>
    <row r="17" spans="2:4" x14ac:dyDescent="0.25">
      <c r="C17" s="16">
        <f>7/10</f>
        <v>0.7</v>
      </c>
      <c r="D17" s="14">
        <f>Inputs!$D$22+(7/10)*(Inputs!$D$23-Inputs!$D$22)</f>
        <v>9.9000000000000005E-2</v>
      </c>
    </row>
    <row r="18" spans="2:4" x14ac:dyDescent="0.25">
      <c r="C18" s="16">
        <f>8/10</f>
        <v>0.8</v>
      </c>
      <c r="D18" s="14">
        <f>Inputs!$D$22+(8/10)*(Inputs!$D$23-Inputs!$D$22)</f>
        <v>0.106</v>
      </c>
    </row>
    <row r="19" spans="2:4" x14ac:dyDescent="0.25">
      <c r="C19" s="16">
        <f>9/10</f>
        <v>0.9</v>
      </c>
      <c r="D19" s="14">
        <f>Inputs!$D$22+(9/10)*(Inputs!$D$23-Inputs!$D$22)</f>
        <v>0.113</v>
      </c>
    </row>
    <row r="20" spans="2:4" x14ac:dyDescent="0.25">
      <c r="C20" s="16">
        <f>10/10</f>
        <v>1</v>
      </c>
      <c r="D20" s="14">
        <f>Inputs!$D$22+(10/10)*(Inputs!$D$23-Inputs!$D$22)</f>
        <v>0.12</v>
      </c>
    </row>
    <row r="21" spans="2:4" x14ac:dyDescent="0.25">
      <c r="C21" s="16">
        <f>11/10</f>
        <v>1.1000000000000001</v>
      </c>
      <c r="D21" s="14">
        <f>Inputs!$D$22+(11/10)*(Inputs!$D$23-Inputs!$D$22)</f>
        <v>0.127</v>
      </c>
    </row>
    <row r="22" spans="2:4" x14ac:dyDescent="0.25">
      <c r="C22" s="16">
        <f>12/10</f>
        <v>1.2</v>
      </c>
      <c r="D22" s="14">
        <f>Inputs!$D$22+(12/10)*(Inputs!$D$23-Inputs!$D$22)</f>
        <v>0.13400000000000001</v>
      </c>
    </row>
    <row r="23" spans="2:4" x14ac:dyDescent="0.25">
      <c r="C23" s="16">
        <f>13/10</f>
        <v>1.3</v>
      </c>
      <c r="D23" s="14">
        <f>Inputs!$D$22+(13/10)*(Inputs!$D$23-Inputs!$D$22)</f>
        <v>0.14100000000000001</v>
      </c>
    </row>
    <row r="24" spans="2:4" x14ac:dyDescent="0.25">
      <c r="C24" s="16">
        <f>14/10</f>
        <v>1.4</v>
      </c>
      <c r="D24" s="14">
        <f>Inputs!$D$22+(14/10)*(Inputs!$D$23-Inputs!$D$22)</f>
        <v>0.14799999999999999</v>
      </c>
    </row>
    <row r="25" spans="2:4" x14ac:dyDescent="0.25">
      <c r="C25" s="16">
        <f>15/10</f>
        <v>1.5</v>
      </c>
      <c r="D25" s="14">
        <f>Inputs!$D$22+(15/10)*(Inputs!$D$23-Inputs!$D$22)</f>
        <v>0.15499999999999997</v>
      </c>
    </row>
    <row r="26" spans="2:4" x14ac:dyDescent="0.25">
      <c r="C26" s="16">
        <f>16/10</f>
        <v>1.6</v>
      </c>
      <c r="D26" s="14">
        <f>Inputs!$D$22+(16/10)*(Inputs!$D$23-Inputs!$D$22)</f>
        <v>0.16199999999999998</v>
      </c>
    </row>
    <row r="27" spans="2:4" x14ac:dyDescent="0.25">
      <c r="C27" s="16">
        <f>17/10</f>
        <v>1.7</v>
      </c>
      <c r="D27" s="14">
        <f>Inputs!$D$22+(17/10)*(Inputs!$D$23-Inputs!$D$22)</f>
        <v>0.16899999999999998</v>
      </c>
    </row>
    <row r="28" spans="2:4" x14ac:dyDescent="0.25">
      <c r="C28" s="16">
        <f>18/10</f>
        <v>1.8</v>
      </c>
      <c r="D28" s="14">
        <f>Inputs!$D$22+(18/10)*(Inputs!$D$23-Inputs!$D$22)</f>
        <v>0.17599999999999999</v>
      </c>
    </row>
    <row r="29" spans="2:4" x14ac:dyDescent="0.25">
      <c r="C29" s="16">
        <f>19/10</f>
        <v>1.9</v>
      </c>
      <c r="D29" s="14">
        <f>Inputs!$D$22+(19/10)*(Inputs!$D$23-Inputs!$D$22)</f>
        <v>0.183</v>
      </c>
    </row>
    <row r="30" spans="2:4" x14ac:dyDescent="0.25">
      <c r="C30" s="16">
        <f>20/10</f>
        <v>2</v>
      </c>
      <c r="D30" s="14">
        <f>Inputs!$D$22+(20/10)*(Inputs!$D$23-Inputs!$D$22)</f>
        <v>0.19</v>
      </c>
    </row>
    <row r="32" spans="2:4" x14ac:dyDescent="0.25">
      <c r="B32" s="35" t="s">
        <v>168</v>
      </c>
      <c r="C32" s="36">
        <v>1</v>
      </c>
      <c r="D32" s="7">
        <f>Inputs!$D$23</f>
        <v>0.12</v>
      </c>
    </row>
    <row r="33" spans="2:8" x14ac:dyDescent="0.25">
      <c r="B33" s="35" t="s">
        <v>169</v>
      </c>
      <c r="C33" s="36">
        <v>0</v>
      </c>
      <c r="D33" s="7">
        <f>Inputs!$D$22</f>
        <v>0.05</v>
      </c>
    </row>
    <row r="35" spans="2:8" ht="19.5" customHeight="1" x14ac:dyDescent="0.25">
      <c r="B35" s="42" t="s">
        <v>170</v>
      </c>
      <c r="C35" s="42"/>
      <c r="D35" s="42"/>
      <c r="E35" s="42"/>
      <c r="F35" s="42"/>
      <c r="G35" s="42"/>
      <c r="H35" s="42"/>
    </row>
    <row r="36" spans="2:8" ht="36" customHeight="1" x14ac:dyDescent="0.25">
      <c r="C36" s="2" t="s">
        <v>171</v>
      </c>
      <c r="D36" s="2" t="s">
        <v>172</v>
      </c>
      <c r="E36" s="2" t="s">
        <v>173</v>
      </c>
      <c r="F36" s="2" t="s">
        <v>174</v>
      </c>
      <c r="G36" s="2" t="s">
        <v>175</v>
      </c>
      <c r="H36" s="2" t="s">
        <v>176</v>
      </c>
    </row>
    <row r="37" spans="2:8" x14ac:dyDescent="0.25">
      <c r="C37" s="37" t="s">
        <v>177</v>
      </c>
      <c r="D37" s="26">
        <v>0.8</v>
      </c>
      <c r="E37" s="27">
        <v>0.11</v>
      </c>
      <c r="F37" s="27">
        <f>Inputs!$D$22+0.8*(Inputs!$D$23-Inputs!$D$22)</f>
        <v>0.106</v>
      </c>
      <c r="G37" s="27">
        <f>E37-F37</f>
        <v>4.0000000000000036E-3</v>
      </c>
      <c r="H37" s="38" t="str">
        <f>IF(G37&gt;0.0001,"UNDERVALUED — BUY",IF(G37&lt;-0.0001,"OVERVALUED — SELL","FAIRLY VALUED — HOLD"))</f>
        <v>UNDERVALUED — BUY</v>
      </c>
    </row>
    <row r="38" spans="2:8" x14ac:dyDescent="0.25">
      <c r="C38" s="37" t="s">
        <v>178</v>
      </c>
      <c r="D38" s="26">
        <v>1.2</v>
      </c>
      <c r="E38" s="27">
        <v>0.15</v>
      </c>
      <c r="F38" s="27">
        <f>Inputs!$D$22+1.2*(Inputs!$D$23-Inputs!$D$22)</f>
        <v>0.13400000000000001</v>
      </c>
      <c r="G38" s="27">
        <f>E38-F38</f>
        <v>1.5999999999999986E-2</v>
      </c>
      <c r="H38" s="38" t="str">
        <f>IF(G38&gt;0.0001,"UNDERVALUED — BUY",IF(G38&lt;-0.0001,"OVERVALUED — SELL","FAIRLY VALUED — HOLD"))</f>
        <v>UNDERVALUED — BUY</v>
      </c>
    </row>
    <row r="39" spans="2:8" x14ac:dyDescent="0.25">
      <c r="C39" s="39" t="s">
        <v>179</v>
      </c>
      <c r="D39" s="32">
        <v>1.5</v>
      </c>
      <c r="E39" s="34">
        <v>0.12</v>
      </c>
      <c r="F39" s="34">
        <f>Inputs!$D$22+1.5*(Inputs!$D$23-Inputs!$D$22)</f>
        <v>0.15499999999999997</v>
      </c>
      <c r="G39" s="34">
        <f>E39-F39</f>
        <v>-3.4999999999999976E-2</v>
      </c>
      <c r="H39" s="40" t="str">
        <f>IF(G39&gt;0.0001,"UNDERVALUED — BUY",IF(G39&lt;-0.0001,"OVERVALUED — SELL","FAIRLY VALUED — HOLD"))</f>
        <v>OVERVALUED — SELL</v>
      </c>
    </row>
    <row r="42" spans="2:8" ht="99.75" customHeight="1" x14ac:dyDescent="0.25">
      <c r="B42" s="48" t="s">
        <v>180</v>
      </c>
      <c r="C42" s="48"/>
      <c r="D42" s="48"/>
      <c r="E42" s="48"/>
      <c r="F42" s="48"/>
      <c r="G42" s="48"/>
      <c r="H42" s="48"/>
    </row>
  </sheetData>
  <sheetProtection algorithmName="SHA-512" hashValue="ypQw36wELJGxjtYcfCXj9vAjMaxIE+Mg204HqtpQLvnF1CTkwWO7DXBN9T1gLtFL+rmKviUmRkR7i7oAqI48Bw==" saltValue="O0xorIm2xvutO5dsDn+STg==" spinCount="100000" sheet="1" objects="1" scenarios="1"/>
  <mergeCells count="5">
    <mergeCell ref="B1:H1"/>
    <mergeCell ref="B3:H3"/>
    <mergeCell ref="B8:H8"/>
    <mergeCell ref="B35:H35"/>
    <mergeCell ref="B42:H42"/>
  </mergeCells>
  <pageMargins left="0.75" right="0.75" top="1" bottom="1"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B1:I48"/>
  <sheetViews>
    <sheetView showGridLines="0" tabSelected="1" zoomScaleNormal="100" workbookViewId="0">
      <selection activeCell="K4" sqref="K4"/>
    </sheetView>
  </sheetViews>
  <sheetFormatPr defaultColWidth="8.7109375" defaultRowHeight="15" x14ac:dyDescent="0.25"/>
  <cols>
    <col min="1" max="1" width="2" customWidth="1"/>
    <col min="2" max="2" width="4" customWidth="1"/>
    <col min="3" max="3" width="30" customWidth="1"/>
    <col min="4" max="4" width="16" customWidth="1"/>
    <col min="5" max="5" width="3" customWidth="1"/>
    <col min="6" max="6" width="30" customWidth="1"/>
    <col min="7" max="7" width="18" customWidth="1"/>
    <col min="8" max="8" width="3" customWidth="1"/>
    <col min="9" max="9" width="24" customWidth="1"/>
    <col min="10" max="10" width="2" customWidth="1"/>
  </cols>
  <sheetData>
    <row r="1" spans="2:9" ht="27.75" customHeight="1" x14ac:dyDescent="0.25">
      <c r="B1" s="44" t="s">
        <v>181</v>
      </c>
      <c r="C1" s="44"/>
      <c r="D1" s="44"/>
      <c r="E1" s="44"/>
      <c r="F1" s="44"/>
      <c r="G1" s="44"/>
      <c r="H1" s="44"/>
      <c r="I1" s="44"/>
    </row>
    <row r="3" spans="2:9" ht="19.5" customHeight="1" x14ac:dyDescent="0.25">
      <c r="B3" s="42" t="s">
        <v>182</v>
      </c>
      <c r="C3" s="42"/>
      <c r="D3" s="42"/>
      <c r="F3" s="42" t="s">
        <v>183</v>
      </c>
      <c r="G3" s="42"/>
    </row>
    <row r="4" spans="2:9" ht="19.5" customHeight="1" x14ac:dyDescent="0.25">
      <c r="C4" s="1" t="s">
        <v>184</v>
      </c>
      <c r="D4" s="7">
        <f>Inputs!$D$6</f>
        <v>0.15</v>
      </c>
      <c r="F4" s="42" t="s">
        <v>185</v>
      </c>
      <c r="G4" s="42"/>
    </row>
    <row r="5" spans="2:9" x14ac:dyDescent="0.25">
      <c r="C5" s="1" t="s">
        <v>186</v>
      </c>
      <c r="D5" s="7">
        <f>Inputs!$D$7</f>
        <v>0.25</v>
      </c>
      <c r="F5" s="1" t="s">
        <v>187</v>
      </c>
      <c r="G5" s="7">
        <f>'Minimum Variance Portfolio'!D19</f>
        <v>8.641765704584041E-2</v>
      </c>
    </row>
    <row r="6" spans="2:9" x14ac:dyDescent="0.25">
      <c r="C6" s="1" t="s">
        <v>188</v>
      </c>
      <c r="D6" s="7">
        <f>Inputs!$D$11</f>
        <v>0.08</v>
      </c>
      <c r="F6" s="1" t="s">
        <v>189</v>
      </c>
      <c r="G6" s="7">
        <f>'Minimum Variance Portfolio'!D21</f>
        <v>0.1179191400889647</v>
      </c>
    </row>
    <row r="7" spans="2:9" x14ac:dyDescent="0.25">
      <c r="C7" s="1" t="s">
        <v>190</v>
      </c>
      <c r="D7" s="7">
        <f>Inputs!$D$12</f>
        <v>0.12</v>
      </c>
      <c r="F7" s="1" t="s">
        <v>191</v>
      </c>
      <c r="G7" s="7">
        <f>'Minimum Variance Portfolio'!D15</f>
        <v>9.1680814940577268E-2</v>
      </c>
    </row>
    <row r="8" spans="2:9" x14ac:dyDescent="0.25">
      <c r="C8" s="1" t="s">
        <v>104</v>
      </c>
      <c r="D8" s="18">
        <f>Inputs!$D$15</f>
        <v>0.3</v>
      </c>
      <c r="F8" s="1" t="s">
        <v>192</v>
      </c>
      <c r="G8" s="7">
        <f>'Minimum Variance Portfolio'!D16</f>
        <v>0.90831918505942277</v>
      </c>
    </row>
    <row r="9" spans="2:9" x14ac:dyDescent="0.25">
      <c r="C9" s="1" t="s">
        <v>52</v>
      </c>
      <c r="D9" s="7">
        <f>Inputs!$D$22</f>
        <v>0.05</v>
      </c>
      <c r="F9" s="1" t="s">
        <v>193</v>
      </c>
      <c r="G9" s="18">
        <f>'Minimum Variance Portfolio'!D22</f>
        <v>0.30883584309014567</v>
      </c>
    </row>
    <row r="10" spans="2:9" x14ac:dyDescent="0.25">
      <c r="C10" s="1" t="s">
        <v>165</v>
      </c>
      <c r="D10" s="7">
        <f>Inputs!$D$23</f>
        <v>0.12</v>
      </c>
    </row>
    <row r="11" spans="2:9" ht="19.5" customHeight="1" x14ac:dyDescent="0.25">
      <c r="F11" s="42" t="s">
        <v>194</v>
      </c>
      <c r="G11" s="42"/>
    </row>
    <row r="12" spans="2:9" x14ac:dyDescent="0.25">
      <c r="F12" s="1" t="s">
        <v>195</v>
      </c>
      <c r="G12" s="7">
        <f>'Capital Market Line'!D7</f>
        <v>0.11849999999999999</v>
      </c>
    </row>
    <row r="13" spans="2:9" x14ac:dyDescent="0.25">
      <c r="F13" s="1" t="s">
        <v>196</v>
      </c>
      <c r="G13" s="7">
        <f>'Capital Market Line'!D8</f>
        <v>0.16210259097250729</v>
      </c>
    </row>
    <row r="14" spans="2:9" x14ac:dyDescent="0.25">
      <c r="F14" s="1" t="s">
        <v>197</v>
      </c>
      <c r="G14" s="18">
        <f>'Capital Market Line'!D9</f>
        <v>0.42257190085023155</v>
      </c>
    </row>
    <row r="15" spans="2:9" x14ac:dyDescent="0.25">
      <c r="F15" s="1" t="s">
        <v>198</v>
      </c>
      <c r="G15" s="18">
        <f>'Capital Market Line'!D4</f>
        <v>0.42257190085023155</v>
      </c>
    </row>
    <row r="41" spans="2:9" ht="19.5" customHeight="1" x14ac:dyDescent="0.25">
      <c r="B41" s="42" t="s">
        <v>199</v>
      </c>
      <c r="C41" s="42"/>
      <c r="D41" s="42"/>
      <c r="E41" s="42"/>
      <c r="F41" s="42"/>
      <c r="G41" s="42"/>
      <c r="H41" s="42"/>
      <c r="I41" s="42"/>
    </row>
    <row r="42" spans="2:9" ht="19.5" customHeight="1" x14ac:dyDescent="0.25">
      <c r="B42" s="55" t="s">
        <v>200</v>
      </c>
      <c r="C42" s="55"/>
      <c r="D42" s="55"/>
      <c r="E42" s="55"/>
      <c r="F42" s="55"/>
      <c r="G42" s="55"/>
      <c r="H42" s="55"/>
      <c r="I42" s="55"/>
    </row>
    <row r="43" spans="2:9" ht="19.5" customHeight="1" x14ac:dyDescent="0.25">
      <c r="B43" s="55" t="s">
        <v>201</v>
      </c>
      <c r="C43" s="55"/>
      <c r="D43" s="55"/>
      <c r="E43" s="55"/>
      <c r="F43" s="55"/>
      <c r="G43" s="55"/>
      <c r="H43" s="55"/>
      <c r="I43" s="55"/>
    </row>
    <row r="44" spans="2:9" ht="19.5" customHeight="1" x14ac:dyDescent="0.25">
      <c r="B44" s="55" t="s">
        <v>202</v>
      </c>
      <c r="C44" s="55"/>
      <c r="D44" s="55"/>
      <c r="E44" s="55"/>
      <c r="F44" s="55"/>
      <c r="G44" s="55"/>
      <c r="H44" s="55"/>
      <c r="I44" s="55"/>
    </row>
    <row r="45" spans="2:9" ht="19.5" customHeight="1" x14ac:dyDescent="0.25">
      <c r="B45" s="55" t="s">
        <v>203</v>
      </c>
      <c r="C45" s="55"/>
      <c r="D45" s="55"/>
      <c r="E45" s="55"/>
      <c r="F45" s="55"/>
      <c r="G45" s="55"/>
      <c r="H45" s="55"/>
      <c r="I45" s="55"/>
    </row>
    <row r="46" spans="2:9" ht="19.5" customHeight="1" x14ac:dyDescent="0.25">
      <c r="B46" s="55" t="s">
        <v>204</v>
      </c>
      <c r="C46" s="55"/>
      <c r="D46" s="55"/>
      <c r="E46" s="55"/>
      <c r="F46" s="55"/>
      <c r="G46" s="55"/>
      <c r="H46" s="55"/>
      <c r="I46" s="55"/>
    </row>
    <row r="47" spans="2:9" ht="19.5" customHeight="1" x14ac:dyDescent="0.25">
      <c r="B47" s="55" t="s">
        <v>205</v>
      </c>
      <c r="C47" s="55"/>
      <c r="D47" s="55"/>
      <c r="E47" s="55"/>
      <c r="F47" s="55"/>
      <c r="G47" s="55"/>
      <c r="H47" s="55"/>
      <c r="I47" s="55"/>
    </row>
    <row r="48" spans="2:9" ht="19.5" customHeight="1" x14ac:dyDescent="0.25">
      <c r="B48" s="55" t="s">
        <v>206</v>
      </c>
      <c r="C48" s="55"/>
      <c r="D48" s="55"/>
      <c r="E48" s="55"/>
      <c r="F48" s="55"/>
      <c r="G48" s="55"/>
      <c r="H48" s="55"/>
      <c r="I48" s="55"/>
    </row>
  </sheetData>
  <sheetProtection algorithmName="SHA-512" hashValue="nZl6Iiw2JLgI5GNe7MyGr7NY3qqFv3pvGZonpTwvxpTIWCDRkQE52Ecf3OLXM5T/A/50e8WoaErgAbsgfm1kTg==" saltValue="hdJ/BeANOI6uiQqG99betQ==" spinCount="100000" sheet="1" objects="1" scenarios="1"/>
  <mergeCells count="13">
    <mergeCell ref="B1:I1"/>
    <mergeCell ref="B3:D3"/>
    <mergeCell ref="F3:G3"/>
    <mergeCell ref="F4:G4"/>
    <mergeCell ref="F11:G11"/>
    <mergeCell ref="B46:I46"/>
    <mergeCell ref="B47:I47"/>
    <mergeCell ref="B48:I48"/>
    <mergeCell ref="B41:I41"/>
    <mergeCell ref="B42:I42"/>
    <mergeCell ref="B43:I43"/>
    <mergeCell ref="B44:I44"/>
    <mergeCell ref="B45:I45"/>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 Me</vt:lpstr>
      <vt:lpstr>Inputs</vt:lpstr>
      <vt:lpstr>Two-Asset Frontier Calculations</vt:lpstr>
      <vt:lpstr>Efficient Frontier Chart</vt:lpstr>
      <vt:lpstr>Correlation Demonstration</vt:lpstr>
      <vt:lpstr>Minimum Variance Portfolio</vt:lpstr>
      <vt:lpstr>Capital Market Line</vt:lpstr>
      <vt:lpstr>CAPM Calculator</vt:lpstr>
      <vt:lpstr>Security Market Line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Office</cp:lastModifiedBy>
  <cp:revision>1</cp:revision>
  <dcterms:created xsi:type="dcterms:W3CDTF">2026-06-25T09:47:11Z</dcterms:created>
  <dcterms:modified xsi:type="dcterms:W3CDTF">2026-07-08T10:42:14Z</dcterms:modified>
  <dc:language>en-US</dc:language>
</cp:coreProperties>
</file>