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O:\SA\02CoursePack02\Maring Trading- Simulation Book\"/>
    </mc:Choice>
  </mc:AlternateContent>
  <xr:revisionPtr revIDLastSave="0" documentId="13_ncr:1_{7C3334A3-2B2B-4739-9ADC-64D69F66278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01_Long_Margin" sheetId="1" r:id="rId1"/>
    <sheet name="02_Short_Sale" sheetId="2" r:id="rId2"/>
    <sheet name="03_Sensitivity" sheetId="3" r:id="rId3"/>
    <sheet name="04_Dashboard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" l="1"/>
  <c r="E8" i="2"/>
  <c r="C20" i="1"/>
  <c r="E13" i="1"/>
  <c r="E8" i="1"/>
  <c r="B24" i="1" s="1"/>
  <c r="H8" i="1"/>
  <c r="H7" i="1"/>
  <c r="H6" i="1"/>
  <c r="E7" i="1"/>
  <c r="E6" i="1"/>
  <c r="E12" i="1"/>
  <c r="H5" i="1" s="1"/>
  <c r="E5" i="1"/>
  <c r="D23" i="1" s="1"/>
  <c r="E4" i="1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E6" i="2"/>
  <c r="E5" i="2"/>
  <c r="E7" i="2" s="1"/>
  <c r="E9" i="2" s="1"/>
  <c r="E4" i="2"/>
  <c r="C28" i="1"/>
  <c r="D27" i="1"/>
  <c r="C27" i="1"/>
  <c r="C26" i="1"/>
  <c r="C25" i="1"/>
  <c r="C24" i="1"/>
  <c r="C23" i="1"/>
  <c r="C22" i="1"/>
  <c r="C21" i="1"/>
  <c r="C19" i="1"/>
  <c r="D18" i="1"/>
  <c r="C18" i="1"/>
  <c r="C17" i="1"/>
  <c r="C16" i="1"/>
  <c r="E10" i="1"/>
  <c r="B7" i="4"/>
  <c r="C34" i="3"/>
  <c r="E14" i="2" l="1"/>
  <c r="E15" i="2" s="1"/>
  <c r="E8" i="4" s="1"/>
  <c r="E13" i="2"/>
  <c r="E5" i="4" s="1"/>
  <c r="B28" i="1"/>
  <c r="B16" i="1"/>
  <c r="E9" i="1"/>
  <c r="E11" i="1" s="1"/>
  <c r="H4" i="1" s="1"/>
  <c r="B26" i="1"/>
  <c r="B37" i="3"/>
  <c r="E7" i="4"/>
  <c r="E4" i="4"/>
  <c r="B10" i="3"/>
  <c r="B17" i="3"/>
  <c r="B24" i="3"/>
  <c r="B31" i="3"/>
  <c r="B38" i="3"/>
  <c r="C10" i="3"/>
  <c r="C17" i="3"/>
  <c r="C24" i="3"/>
  <c r="C31" i="3"/>
  <c r="C38" i="3"/>
  <c r="B23" i="1"/>
  <c r="B19" i="1"/>
  <c r="B7" i="3"/>
  <c r="B14" i="3"/>
  <c r="B21" i="3"/>
  <c r="B28" i="3"/>
  <c r="B35" i="3"/>
  <c r="C7" i="3"/>
  <c r="C14" i="3"/>
  <c r="C21" i="3"/>
  <c r="C28" i="3"/>
  <c r="C35" i="3"/>
  <c r="D28" i="1"/>
  <c r="B4" i="3"/>
  <c r="B11" i="3"/>
  <c r="B18" i="3"/>
  <c r="B25" i="3"/>
  <c r="B32" i="3"/>
  <c r="C4" i="3"/>
  <c r="C11" i="3"/>
  <c r="C18" i="3"/>
  <c r="C25" i="3"/>
  <c r="C32" i="3"/>
  <c r="D19" i="1"/>
  <c r="B5" i="4"/>
  <c r="B20" i="1"/>
  <c r="D24" i="1"/>
  <c r="B25" i="1"/>
  <c r="D20" i="1"/>
  <c r="B8" i="3"/>
  <c r="B15" i="3"/>
  <c r="B22" i="3"/>
  <c r="B29" i="3"/>
  <c r="B36" i="3"/>
  <c r="C8" i="3"/>
  <c r="C15" i="3"/>
  <c r="C22" i="3"/>
  <c r="C29" i="3"/>
  <c r="C36" i="3"/>
  <c r="B5" i="3"/>
  <c r="B12" i="3"/>
  <c r="B19" i="3"/>
  <c r="B26" i="3"/>
  <c r="B33" i="3"/>
  <c r="C5" i="3"/>
  <c r="C12" i="3"/>
  <c r="C19" i="3"/>
  <c r="C26" i="3"/>
  <c r="C33" i="3"/>
  <c r="B9" i="3"/>
  <c r="B16" i="3"/>
  <c r="B23" i="3"/>
  <c r="B30" i="3"/>
  <c r="D17" i="1"/>
  <c r="B27" i="1"/>
  <c r="C9" i="3"/>
  <c r="C16" i="3"/>
  <c r="C23" i="3"/>
  <c r="C30" i="3"/>
  <c r="C37" i="3"/>
  <c r="B21" i="1"/>
  <c r="D25" i="1"/>
  <c r="D16" i="1"/>
  <c r="B17" i="1"/>
  <c r="D21" i="1"/>
  <c r="B22" i="1"/>
  <c r="D26" i="1"/>
  <c r="B18" i="1"/>
  <c r="D22" i="1"/>
  <c r="B6" i="3"/>
  <c r="B13" i="3"/>
  <c r="B20" i="3"/>
  <c r="B27" i="3"/>
  <c r="B34" i="3"/>
  <c r="C6" i="3"/>
  <c r="C13" i="3"/>
  <c r="C20" i="3"/>
  <c r="C27" i="3"/>
  <c r="E6" i="4" l="1"/>
  <c r="B6" i="4"/>
  <c r="B8" i="4"/>
  <c r="B4" i="4"/>
</calcChain>
</file>

<file path=xl/sharedStrings.xml><?xml version="1.0" encoding="utf-8"?>
<sst xmlns="http://schemas.openxmlformats.org/spreadsheetml/2006/main" count="102" uniqueCount="71">
  <si>
    <t>Long Position on Margin: Interactive Model</t>
  </si>
  <si>
    <t>INPUTS</t>
  </si>
  <si>
    <t>Value</t>
  </si>
  <si>
    <t>CALCULATIONS</t>
  </si>
  <si>
    <t>KEY OUTPUTS</t>
  </si>
  <si>
    <t>Initial Equity Investment</t>
  </si>
  <si>
    <t>Total Stock Purchased</t>
  </si>
  <si>
    <t>ROI</t>
  </si>
  <si>
    <t>Amount Borrowed</t>
  </si>
  <si>
    <t>Shares Purchased</t>
  </si>
  <si>
    <t>Current Margin Ratio</t>
  </si>
  <si>
    <t>Initial Stock Price</t>
  </si>
  <si>
    <t>Capital Gain on Stock</t>
  </si>
  <si>
    <t>Margin Call Price</t>
  </si>
  <si>
    <t>Ending Stock Price</t>
  </si>
  <si>
    <t>Dividends Received</t>
  </si>
  <si>
    <t>Leverage Multiple</t>
  </si>
  <si>
    <t>Cash Dividends During Hold Period</t>
  </si>
  <si>
    <t>Interest on Margin Loan</t>
  </si>
  <si>
    <t>Margin Call Status</t>
  </si>
  <si>
    <t>Interest Rate on Margin Loan</t>
  </si>
  <si>
    <t>Net Income</t>
  </si>
  <si>
    <t>Holding Period in Months</t>
  </si>
  <si>
    <t>Initial Investment</t>
  </si>
  <si>
    <t>Maintenance Margin Percentage</t>
  </si>
  <si>
    <t>Return on Investment</t>
  </si>
  <si>
    <t>Margin Based on Ending Price</t>
  </si>
  <si>
    <t>Price for Margin Call</t>
  </si>
  <si>
    <t>ROI with Margin</t>
  </si>
  <si>
    <t>ROI with No Margin</t>
  </si>
  <si>
    <t>Margin Ratio</t>
  </si>
  <si>
    <t>Short Sale and Margin Call Model</t>
  </si>
  <si>
    <t>RETURN ON SHORT SALE</t>
  </si>
  <si>
    <t>Initial Investment / Margin Deposit</t>
  </si>
  <si>
    <t>Short Sale Proceeds</t>
  </si>
  <si>
    <t>Number of Shares Sold Short</t>
  </si>
  <si>
    <t>Dividends Paid</t>
  </si>
  <si>
    <t>Cash Dividends Per Share</t>
  </si>
  <si>
    <t>Initial Margin Percentage</t>
  </si>
  <si>
    <t>MARGIN POSITIONS</t>
  </si>
  <si>
    <t>Combined Sensitivity: Margin Curves and Leverage Effects</t>
  </si>
  <si>
    <t>Stock Price</t>
  </si>
  <si>
    <t>Long ROI</t>
  </si>
  <si>
    <t>Long Margin Ratio</t>
  </si>
  <si>
    <t>Short ROI</t>
  </si>
  <si>
    <t>Short Margin Ratio</t>
  </si>
  <si>
    <t>Securities Analysis Teaching Dashboard: Margin and Short Sales</t>
  </si>
  <si>
    <t>Long Position KPIs</t>
  </si>
  <si>
    <t>Short Sale KPIs</t>
  </si>
  <si>
    <t>1. Change the yellow input cells in sheets 01 and 02.</t>
  </si>
  <si>
    <t>2. Observe how leverage magnifies returns and losses.</t>
  </si>
  <si>
    <t>3. Compare long margin call price with short sale margin call price.</t>
  </si>
  <si>
    <t>4. Use curves in Sensitivity sheet for class discussion.</t>
  </si>
  <si>
    <t>Status</t>
  </si>
  <si>
    <t>5. Input cells contain comments explaining their meaning.</t>
  </si>
  <si>
    <t>Model Notes and Classroom Use</t>
  </si>
  <si>
    <t>Section</t>
  </si>
  <si>
    <t>Note</t>
  </si>
  <si>
    <t>Purpose</t>
  </si>
  <si>
    <t>Interactive teaching model for buying on margin and short selling using the textbook numerical illustrations.</t>
  </si>
  <si>
    <t>Inputs</t>
  </si>
  <si>
    <t>Yellow cells are hardcoded assumptions and can be changed for scenario analysis.</t>
  </si>
  <si>
    <t>Outputs</t>
  </si>
  <si>
    <t>Green cells summarize key outputs: ROI, margin ratio, margin call price, leverage, and status.</t>
  </si>
  <si>
    <t>Long Margin Equation</t>
  </si>
  <si>
    <t>Margin ratio = (Market value of stock - broker loan) / market value of stock. Margin call price = Loan / [Shares × (1 - maintenance margin)].</t>
  </si>
  <si>
    <t>Short Sale Equation</t>
  </si>
  <si>
    <t>Margin ratio = (Margin deposit + short sale proceeds - value of shares owed - dividends paid) / value of shares owed. Margin call price = (Deposit + proceeds - dividends paid) / [Shares × (1 + maintenance margin)].</t>
  </si>
  <si>
    <t>Classroom Application</t>
  </si>
  <si>
    <t>Ask students to change maintenance margin, ending price, dividend, and borrowed amount to observe changes in ROI and margin call status.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</si>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</sst>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\$#,##0.00;[Red]\(\$#,##0.00\);\-"/>
    <numFmt numFmtId="165" formatCode="\$0.00"/>
    <numFmt numFmtId="166" formatCode="\$#,##0.00"/>
    <numFmt numFmtId="167" formatCode="0.00\x"/>
    <numFmt numFmtId="168" formatCode="\$.00"/>
  </numFmts>
  <fonts count="10">
    <font>
      <sz val="11"/>
      <name val="Carlito"/>
    </font>
    <font>
      <b/>
      <sz val="12"/>
      <color rgb="FFFFFFFF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0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F6F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" fontId="4" fillId="5" borderId="4" xfId="0" applyNumberFormat="1" applyFont="1" applyFill="1" applyBorder="1" applyAlignment="1">
      <alignment vertical="center"/>
    </xf>
    <xf numFmtId="10" fontId="4" fillId="5" borderId="4" xfId="0" applyNumberFormat="1" applyFont="1" applyFill="1" applyBorder="1" applyAlignment="1">
      <alignment vertical="center"/>
    </xf>
    <xf numFmtId="164" fontId="4" fillId="5" borderId="6" xfId="0" applyNumberFormat="1" applyFont="1" applyFill="1" applyBorder="1" applyAlignment="1">
      <alignment vertical="center"/>
    </xf>
    <xf numFmtId="10" fontId="5" fillId="6" borderId="4" xfId="0" applyNumberFormat="1" applyFont="1" applyFill="1" applyBorder="1" applyAlignment="1">
      <alignment vertical="center"/>
    </xf>
    <xf numFmtId="166" fontId="5" fillId="6" borderId="4" xfId="0" applyNumberFormat="1" applyFont="1" applyFill="1" applyBorder="1" applyAlignment="1">
      <alignment vertical="center"/>
    </xf>
    <xf numFmtId="167" fontId="5" fillId="6" borderId="4" xfId="0" applyNumberFormat="1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10" fontId="0" fillId="0" borderId="8" xfId="0" applyNumberFormat="1" applyBorder="1" applyAlignment="1">
      <alignment vertical="center"/>
    </xf>
    <xf numFmtId="10" fontId="0" fillId="0" borderId="4" xfId="0" applyNumberFormat="1" applyBorder="1" applyAlignment="1">
      <alignment vertical="center"/>
    </xf>
    <xf numFmtId="166" fontId="0" fillId="0" borderId="5" xfId="0" applyNumberFormat="1" applyBorder="1" applyAlignment="1">
      <alignment vertical="center"/>
    </xf>
    <xf numFmtId="10" fontId="0" fillId="0" borderId="9" xfId="0" applyNumberFormat="1" applyBorder="1" applyAlignment="1">
      <alignment vertical="center"/>
    </xf>
    <xf numFmtId="10" fontId="0" fillId="0" borderId="6" xfId="0" applyNumberFormat="1" applyBorder="1" applyAlignment="1">
      <alignment vertical="center"/>
    </xf>
    <xf numFmtId="10" fontId="4" fillId="5" borderId="6" xfId="0" applyNumberFormat="1" applyFont="1" applyFill="1" applyBorder="1" applyAlignment="1">
      <alignment vertical="center"/>
    </xf>
    <xf numFmtId="164" fontId="5" fillId="6" borderId="4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0" borderId="0" xfId="0" applyFont="1"/>
    <xf numFmtId="166" fontId="0" fillId="7" borderId="3" xfId="0" applyNumberFormat="1" applyFill="1" applyBorder="1" applyAlignment="1">
      <alignment vertical="center"/>
    </xf>
    <xf numFmtId="10" fontId="0" fillId="7" borderId="8" xfId="0" applyNumberFormat="1" applyFill="1" applyBorder="1" applyAlignment="1">
      <alignment vertical="center"/>
    </xf>
    <xf numFmtId="10" fontId="0" fillId="7" borderId="4" xfId="0" applyNumberFormat="1" applyFill="1" applyBorder="1" applyAlignment="1">
      <alignment vertical="center"/>
    </xf>
    <xf numFmtId="168" fontId="0" fillId="0" borderId="0" xfId="1" applyNumberFormat="1" applyFont="1"/>
    <xf numFmtId="0" fontId="7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164" fontId="3" fillId="4" borderId="4" xfId="0" applyNumberFormat="1" applyFont="1" applyFill="1" applyBorder="1" applyAlignment="1" applyProtection="1">
      <alignment vertical="center"/>
      <protection locked="0"/>
    </xf>
    <xf numFmtId="165" fontId="3" fillId="4" borderId="4" xfId="0" applyNumberFormat="1" applyFont="1" applyFill="1" applyBorder="1" applyAlignment="1" applyProtection="1">
      <alignment vertical="center"/>
      <protection locked="0"/>
    </xf>
    <xf numFmtId="10" fontId="3" fillId="4" borderId="4" xfId="0" applyNumberFormat="1" applyFont="1" applyFill="1" applyBorder="1" applyAlignment="1" applyProtection="1">
      <alignment vertical="center"/>
      <protection locked="0"/>
    </xf>
    <xf numFmtId="1" fontId="3" fillId="4" borderId="4" xfId="0" applyNumberFormat="1" applyFont="1" applyFill="1" applyBorder="1" applyAlignment="1" applyProtection="1">
      <alignment vertical="center"/>
      <protection locked="0"/>
    </xf>
    <xf numFmtId="10" fontId="3" fillId="4" borderId="6" xfId="0" applyNumberFormat="1" applyFont="1" applyFill="1" applyBorder="1" applyAlignment="1" applyProtection="1">
      <alignment vertical="center"/>
      <protection locked="0"/>
    </xf>
  </cellXfs>
  <cellStyles count="2">
    <cellStyle name="Currency" xfId="1" builtinId="4"/>
    <cellStyle name="Normal" xfId="0" builtinId="0"/>
  </cellStyles>
  <dxfs count="3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Long Position: Return on Investment vs Stock Price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ROI with Margin</c:v>
          </c:tx>
          <c:cat>
            <c:numRef>
              <c:f>'01_Long_Margin'!$A$16:$A$28</c:f>
              <c:numCache>
                <c:formatCode>\$#,##0.00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cat>
          <c:val>
            <c:numRef>
              <c:f>'01_Long_Margin'!$B$16:$B$28</c:f>
              <c:numCache>
                <c:formatCode>0.00%</c:formatCode>
                <c:ptCount val="13"/>
                <c:pt idx="0">
                  <c:v>-1.256</c:v>
                </c:pt>
                <c:pt idx="1">
                  <c:v>-1.056</c:v>
                </c:pt>
                <c:pt idx="2">
                  <c:v>-0.85599999999999998</c:v>
                </c:pt>
                <c:pt idx="3">
                  <c:v>-0.65600000000000003</c:v>
                </c:pt>
                <c:pt idx="4">
                  <c:v>-0.45600000000000002</c:v>
                </c:pt>
                <c:pt idx="5">
                  <c:v>-0.25600000000000001</c:v>
                </c:pt>
                <c:pt idx="6">
                  <c:v>-5.6000000000000001E-2</c:v>
                </c:pt>
                <c:pt idx="7">
                  <c:v>0.14399999999999999</c:v>
                </c:pt>
                <c:pt idx="8">
                  <c:v>0.34399999999999997</c:v>
                </c:pt>
                <c:pt idx="9">
                  <c:v>0.54400000000000004</c:v>
                </c:pt>
                <c:pt idx="10">
                  <c:v>0.74399999999999999</c:v>
                </c:pt>
                <c:pt idx="11">
                  <c:v>0.94399999999999995</c:v>
                </c:pt>
                <c:pt idx="12">
                  <c:v>1.1439999999999999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C-46F3-BAFA-62172249D898}"/>
            </c:ext>
          </c:extLst>
        </c:ser>
        <c:ser>
          <c:idx val="1"/>
          <c:order val="1"/>
          <c:tx>
            <c:v>ROI with No Margin</c:v>
          </c:tx>
          <c:cat>
            <c:numRef>
              <c:f>'01_Long_Margin'!$A$16:$A$28</c:f>
              <c:numCache>
                <c:formatCode>\$#,##0.00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cat>
          <c:val>
            <c:numRef>
              <c:f>'01_Long_Margin'!$C$16:$C$28</c:f>
              <c:numCache>
                <c:formatCode>0.00%</c:formatCode>
                <c:ptCount val="13"/>
                <c:pt idx="0">
                  <c:v>-0.58799999999999997</c:v>
                </c:pt>
                <c:pt idx="1">
                  <c:v>-0.48799999999999999</c:v>
                </c:pt>
                <c:pt idx="2">
                  <c:v>-0.38800000000000001</c:v>
                </c:pt>
                <c:pt idx="3">
                  <c:v>-0.28799999999999998</c:v>
                </c:pt>
                <c:pt idx="4">
                  <c:v>-0.188</c:v>
                </c:pt>
                <c:pt idx="5">
                  <c:v>-8.7999999999999995E-2</c:v>
                </c:pt>
                <c:pt idx="6">
                  <c:v>1.2E-2</c:v>
                </c:pt>
                <c:pt idx="7">
                  <c:v>0.112</c:v>
                </c:pt>
                <c:pt idx="8">
                  <c:v>0.21199999999999999</c:v>
                </c:pt>
                <c:pt idx="9">
                  <c:v>0.312</c:v>
                </c:pt>
                <c:pt idx="10">
                  <c:v>0.41199999999999998</c:v>
                </c:pt>
                <c:pt idx="11">
                  <c:v>0.51200000000000001</c:v>
                </c:pt>
                <c:pt idx="12">
                  <c:v>0.61199999999999999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4C-46F3-BAFA-62172249D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Long Position: Margin Ratio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ROI with Margin</c:v>
          </c:tx>
          <c:cat>
            <c:numRef>
              <c:f>'01_Long_Margin'!$A$16:$A$28</c:f>
              <c:numCache>
                <c:formatCode>\$#,##0.00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cat>
          <c:val>
            <c:numRef>
              <c:f>'01_Long_Margin'!$B$16:$B$28</c:f>
              <c:numCache>
                <c:formatCode>0.00%</c:formatCode>
                <c:ptCount val="13"/>
                <c:pt idx="0">
                  <c:v>-1.256</c:v>
                </c:pt>
                <c:pt idx="1">
                  <c:v>-1.056</c:v>
                </c:pt>
                <c:pt idx="2">
                  <c:v>-0.85599999999999998</c:v>
                </c:pt>
                <c:pt idx="3">
                  <c:v>-0.65600000000000003</c:v>
                </c:pt>
                <c:pt idx="4">
                  <c:v>-0.45600000000000002</c:v>
                </c:pt>
                <c:pt idx="5">
                  <c:v>-0.25600000000000001</c:v>
                </c:pt>
                <c:pt idx="6">
                  <c:v>-5.6000000000000001E-2</c:v>
                </c:pt>
                <c:pt idx="7">
                  <c:v>0.14399999999999999</c:v>
                </c:pt>
                <c:pt idx="8">
                  <c:v>0.34399999999999997</c:v>
                </c:pt>
                <c:pt idx="9">
                  <c:v>0.54400000000000004</c:v>
                </c:pt>
                <c:pt idx="10">
                  <c:v>0.74399999999999999</c:v>
                </c:pt>
                <c:pt idx="11">
                  <c:v>0.94399999999999995</c:v>
                </c:pt>
                <c:pt idx="12">
                  <c:v>1.1439999999999999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E-4D7D-92DB-72100BD19173}"/>
            </c:ext>
          </c:extLst>
        </c:ser>
        <c:ser>
          <c:idx val="1"/>
          <c:order val="1"/>
          <c:tx>
            <c:v>ROI with No Margin</c:v>
          </c:tx>
          <c:cat>
            <c:numRef>
              <c:f>'01_Long_Margin'!$A$16:$A$28</c:f>
              <c:numCache>
                <c:formatCode>\$#,##0.00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cat>
          <c:val>
            <c:numRef>
              <c:f>'01_Long_Margin'!$C$16:$C$28</c:f>
              <c:numCache>
                <c:formatCode>0.00%</c:formatCode>
                <c:ptCount val="13"/>
                <c:pt idx="0">
                  <c:v>-0.58799999999999997</c:v>
                </c:pt>
                <c:pt idx="1">
                  <c:v>-0.48799999999999999</c:v>
                </c:pt>
                <c:pt idx="2">
                  <c:v>-0.38800000000000001</c:v>
                </c:pt>
                <c:pt idx="3">
                  <c:v>-0.28799999999999998</c:v>
                </c:pt>
                <c:pt idx="4">
                  <c:v>-0.188</c:v>
                </c:pt>
                <c:pt idx="5">
                  <c:v>-8.7999999999999995E-2</c:v>
                </c:pt>
                <c:pt idx="6">
                  <c:v>1.2E-2</c:v>
                </c:pt>
                <c:pt idx="7">
                  <c:v>0.112</c:v>
                </c:pt>
                <c:pt idx="8">
                  <c:v>0.21199999999999999</c:v>
                </c:pt>
                <c:pt idx="9">
                  <c:v>0.312</c:v>
                </c:pt>
                <c:pt idx="10">
                  <c:v>0.41199999999999998</c:v>
                </c:pt>
                <c:pt idx="11">
                  <c:v>0.51200000000000001</c:v>
                </c:pt>
                <c:pt idx="12">
                  <c:v>0.61199999999999999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E-4D7D-92DB-72100BD19173}"/>
            </c:ext>
          </c:extLst>
        </c:ser>
        <c:ser>
          <c:idx val="2"/>
          <c:order val="2"/>
          <c:tx>
            <c:v>Margin Ratio</c:v>
          </c:tx>
          <c:cat>
            <c:numRef>
              <c:f>'01_Long_Margin'!$A$16:$A$28</c:f>
              <c:numCache>
                <c:formatCode>\$#,##0.00</c:formatCode>
                <c:ptCount val="1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</c:numCache>
            </c:numRef>
          </c:cat>
          <c:val>
            <c:numRef>
              <c:f>'01_Long_Margin'!$D$16:$D$28</c:f>
              <c:numCache>
                <c:formatCode>0.00%</c:formatCode>
                <c:ptCount val="13"/>
                <c:pt idx="0">
                  <c:v>-0.25</c:v>
                </c:pt>
                <c:pt idx="1">
                  <c:v>0</c:v>
                </c:pt>
                <c:pt idx="2">
                  <c:v>0.16666666666666666</c:v>
                </c:pt>
                <c:pt idx="3">
                  <c:v>0.2857142857142857</c:v>
                </c:pt>
                <c:pt idx="4">
                  <c:v>0.375</c:v>
                </c:pt>
                <c:pt idx="5">
                  <c:v>0.44444444444444442</c:v>
                </c:pt>
                <c:pt idx="6">
                  <c:v>0.5</c:v>
                </c:pt>
                <c:pt idx="7">
                  <c:v>0.54545454545454541</c:v>
                </c:pt>
                <c:pt idx="8">
                  <c:v>0.58333333333333337</c:v>
                </c:pt>
                <c:pt idx="9">
                  <c:v>0.61538461538461542</c:v>
                </c:pt>
                <c:pt idx="10">
                  <c:v>0.6428571428571429</c:v>
                </c:pt>
                <c:pt idx="11">
                  <c:v>0.66666666666666663</c:v>
                </c:pt>
                <c:pt idx="1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E-4D7D-92DB-72100BD1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Short Sale: Return on Investment vs Stock Price</a:t>
            </a:r>
          </a:p>
        </c:rich>
      </c:tx>
      <c:layout>
        <c:manualLayout>
          <c:xMode val="edge"/>
          <c:yMode val="edge"/>
          <c:x val="0.21808857226180059"/>
          <c:y val="2.359882005899705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Return on Investment</c:v>
          </c:tx>
          <c:cat>
            <c:numRef>
              <c:f>'02_Short_Sale'!$A$19:$A$35</c:f>
              <c:numCache>
                <c:formatCode>\$#,##0.00</c:formatCod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</c:numCache>
            </c:numRef>
          </c:cat>
          <c:val>
            <c:numRef>
              <c:f>'02_Short_Sale'!$B$19:$B$35</c:f>
              <c:numCache>
                <c:formatCode>0.00%</c:formatCode>
                <c:ptCount val="17"/>
                <c:pt idx="0">
                  <c:v>1.8</c:v>
                </c:pt>
                <c:pt idx="1">
                  <c:v>1.6</c:v>
                </c:pt>
                <c:pt idx="2">
                  <c:v>1.4</c:v>
                </c:pt>
                <c:pt idx="3">
                  <c:v>1.2</c:v>
                </c:pt>
                <c:pt idx="4">
                  <c:v>1</c:v>
                </c:pt>
                <c:pt idx="5">
                  <c:v>0.8</c:v>
                </c:pt>
                <c:pt idx="6">
                  <c:v>0.6</c:v>
                </c:pt>
                <c:pt idx="7">
                  <c:v>0.4</c:v>
                </c:pt>
                <c:pt idx="8">
                  <c:v>0.2</c:v>
                </c:pt>
                <c:pt idx="9">
                  <c:v>0</c:v>
                </c:pt>
                <c:pt idx="10">
                  <c:v>-0.2</c:v>
                </c:pt>
                <c:pt idx="11">
                  <c:v>-0.4</c:v>
                </c:pt>
                <c:pt idx="12">
                  <c:v>-0.6</c:v>
                </c:pt>
                <c:pt idx="13">
                  <c:v>-0.8</c:v>
                </c:pt>
                <c:pt idx="14">
                  <c:v>-1</c:v>
                </c:pt>
                <c:pt idx="15">
                  <c:v>-1.2</c:v>
                </c:pt>
                <c:pt idx="16">
                  <c:v>-1.4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E-4791-A15C-E11EA6DF7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Short Sale: Margin Ratio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Return on Investment</c:v>
          </c:tx>
          <c:cat>
            <c:numRef>
              <c:f>'02_Short_Sale'!$A$19:$A$35</c:f>
              <c:numCache>
                <c:formatCode>\$#,##0.00</c:formatCod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</c:numCache>
            </c:numRef>
          </c:cat>
          <c:val>
            <c:numRef>
              <c:f>'02_Short_Sale'!$B$19:$B$35</c:f>
              <c:numCache>
                <c:formatCode>0.00%</c:formatCode>
                <c:ptCount val="17"/>
                <c:pt idx="0">
                  <c:v>1.8</c:v>
                </c:pt>
                <c:pt idx="1">
                  <c:v>1.6</c:v>
                </c:pt>
                <c:pt idx="2">
                  <c:v>1.4</c:v>
                </c:pt>
                <c:pt idx="3">
                  <c:v>1.2</c:v>
                </c:pt>
                <c:pt idx="4">
                  <c:v>1</c:v>
                </c:pt>
                <c:pt idx="5">
                  <c:v>0.8</c:v>
                </c:pt>
                <c:pt idx="6">
                  <c:v>0.6</c:v>
                </c:pt>
                <c:pt idx="7">
                  <c:v>0.4</c:v>
                </c:pt>
                <c:pt idx="8">
                  <c:v>0.2</c:v>
                </c:pt>
                <c:pt idx="9">
                  <c:v>0</c:v>
                </c:pt>
                <c:pt idx="10">
                  <c:v>-0.2</c:v>
                </c:pt>
                <c:pt idx="11">
                  <c:v>-0.4</c:v>
                </c:pt>
                <c:pt idx="12">
                  <c:v>-0.6</c:v>
                </c:pt>
                <c:pt idx="13">
                  <c:v>-0.8</c:v>
                </c:pt>
                <c:pt idx="14">
                  <c:v>-1</c:v>
                </c:pt>
                <c:pt idx="15">
                  <c:v>-1.2</c:v>
                </c:pt>
                <c:pt idx="16">
                  <c:v>-1.4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6-4292-AC74-90115086B575}"/>
            </c:ext>
          </c:extLst>
        </c:ser>
        <c:ser>
          <c:idx val="1"/>
          <c:order val="1"/>
          <c:tx>
            <c:v>Margin Ratio</c:v>
          </c:tx>
          <c:cat>
            <c:numRef>
              <c:f>'02_Short_Sale'!$A$19:$A$35</c:f>
              <c:numCache>
                <c:formatCode>\$#,##0.00</c:formatCod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</c:numCache>
            </c:numRef>
          </c:cat>
          <c:val>
            <c:numRef>
              <c:f>'02_Short_Sale'!$C$19:$C$35</c:f>
              <c:numCache>
                <c:formatCode>0.00%</c:formatCode>
                <c:ptCount val="17"/>
                <c:pt idx="0">
                  <c:v>14</c:v>
                </c:pt>
                <c:pt idx="1">
                  <c:v>6.5</c:v>
                </c:pt>
                <c:pt idx="2">
                  <c:v>4</c:v>
                </c:pt>
                <c:pt idx="3">
                  <c:v>2.75</c:v>
                </c:pt>
                <c:pt idx="4">
                  <c:v>2</c:v>
                </c:pt>
                <c:pt idx="5">
                  <c:v>1.5</c:v>
                </c:pt>
                <c:pt idx="6">
                  <c:v>1.1428571428571428</c:v>
                </c:pt>
                <c:pt idx="7">
                  <c:v>0.875</c:v>
                </c:pt>
                <c:pt idx="8">
                  <c:v>0.66666666666666663</c:v>
                </c:pt>
                <c:pt idx="9">
                  <c:v>0.5</c:v>
                </c:pt>
                <c:pt idx="10">
                  <c:v>0.36363636363636365</c:v>
                </c:pt>
                <c:pt idx="11">
                  <c:v>0.25</c:v>
                </c:pt>
                <c:pt idx="12">
                  <c:v>0.15384615384615385</c:v>
                </c:pt>
                <c:pt idx="13">
                  <c:v>7.1428571428571425E-2</c:v>
                </c:pt>
                <c:pt idx="14">
                  <c:v>0</c:v>
                </c:pt>
                <c:pt idx="15">
                  <c:v>-6.25E-2</c:v>
                </c:pt>
                <c:pt idx="16">
                  <c:v>-0.11764705882352941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6-4292-AC74-90115086B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Combined Margin Curves: Long vs Short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Long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'03_Sensitivity'!$B$4:$B$38</c:f>
              <c:numCache>
                <c:formatCode>0.00%</c:formatCode>
                <c:ptCount val="35"/>
                <c:pt idx="0">
                  <c:v>-1.6559999999999999</c:v>
                </c:pt>
                <c:pt idx="1">
                  <c:v>-1.456</c:v>
                </c:pt>
                <c:pt idx="2">
                  <c:v>-1.256</c:v>
                </c:pt>
                <c:pt idx="3">
                  <c:v>-1.056</c:v>
                </c:pt>
                <c:pt idx="4">
                  <c:v>-0.85599999999999998</c:v>
                </c:pt>
                <c:pt idx="5">
                  <c:v>-0.65600000000000003</c:v>
                </c:pt>
                <c:pt idx="6">
                  <c:v>-0.45600000000000002</c:v>
                </c:pt>
                <c:pt idx="7">
                  <c:v>-0.25600000000000001</c:v>
                </c:pt>
                <c:pt idx="8">
                  <c:v>-5.6000000000000001E-2</c:v>
                </c:pt>
                <c:pt idx="9">
                  <c:v>0.14399999999999999</c:v>
                </c:pt>
                <c:pt idx="10">
                  <c:v>0.34399999999999997</c:v>
                </c:pt>
                <c:pt idx="11">
                  <c:v>0.54400000000000004</c:v>
                </c:pt>
                <c:pt idx="12">
                  <c:v>0.74399999999999999</c:v>
                </c:pt>
                <c:pt idx="13">
                  <c:v>0.94399999999999995</c:v>
                </c:pt>
                <c:pt idx="14">
                  <c:v>1.1439999999999999</c:v>
                </c:pt>
                <c:pt idx="15">
                  <c:v>1.3440000000000001</c:v>
                </c:pt>
                <c:pt idx="16">
                  <c:v>1.544</c:v>
                </c:pt>
                <c:pt idx="17">
                  <c:v>1.744</c:v>
                </c:pt>
                <c:pt idx="18">
                  <c:v>1.944</c:v>
                </c:pt>
                <c:pt idx="19">
                  <c:v>2.1440000000000001</c:v>
                </c:pt>
                <c:pt idx="20">
                  <c:v>2.3439999999999999</c:v>
                </c:pt>
                <c:pt idx="21">
                  <c:v>2.544</c:v>
                </c:pt>
                <c:pt idx="22">
                  <c:v>2.7440000000000002</c:v>
                </c:pt>
                <c:pt idx="23">
                  <c:v>2.944</c:v>
                </c:pt>
                <c:pt idx="24">
                  <c:v>3.1440000000000001</c:v>
                </c:pt>
                <c:pt idx="25">
                  <c:v>3.3439999999999999</c:v>
                </c:pt>
                <c:pt idx="26">
                  <c:v>3.544</c:v>
                </c:pt>
                <c:pt idx="27">
                  <c:v>3.7440000000000002</c:v>
                </c:pt>
                <c:pt idx="28">
                  <c:v>3.944</c:v>
                </c:pt>
                <c:pt idx="29">
                  <c:v>4.1440000000000001</c:v>
                </c:pt>
                <c:pt idx="30">
                  <c:v>4.3440000000000003</c:v>
                </c:pt>
                <c:pt idx="31">
                  <c:v>4.5439999999999996</c:v>
                </c:pt>
                <c:pt idx="32">
                  <c:v>4.7439999999999998</c:v>
                </c:pt>
                <c:pt idx="33">
                  <c:v>4.944</c:v>
                </c:pt>
                <c:pt idx="34">
                  <c:v>5.1440000000000001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1-4407-8E07-21930499D80D}"/>
            </c:ext>
          </c:extLst>
        </c:ser>
        <c:ser>
          <c:idx val="1"/>
          <c:order val="1"/>
          <c:tx>
            <c:v>Long Margin Ratio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'03_Sensitivity'!$C$4:$C$38</c:f>
              <c:numCache>
                <c:formatCode>0.00%</c:formatCode>
                <c:ptCount val="35"/>
                <c:pt idx="0">
                  <c:v>-1.5</c:v>
                </c:pt>
                <c:pt idx="1">
                  <c:v>-0.66666666666666663</c:v>
                </c:pt>
                <c:pt idx="2">
                  <c:v>-0.25</c:v>
                </c:pt>
                <c:pt idx="3">
                  <c:v>0</c:v>
                </c:pt>
                <c:pt idx="4">
                  <c:v>0.16666666666666666</c:v>
                </c:pt>
                <c:pt idx="5">
                  <c:v>0.2857142857142857</c:v>
                </c:pt>
                <c:pt idx="6">
                  <c:v>0.375</c:v>
                </c:pt>
                <c:pt idx="7">
                  <c:v>0.44444444444444442</c:v>
                </c:pt>
                <c:pt idx="8">
                  <c:v>0.5</c:v>
                </c:pt>
                <c:pt idx="9">
                  <c:v>0.54545454545454541</c:v>
                </c:pt>
                <c:pt idx="10">
                  <c:v>0.58333333333333337</c:v>
                </c:pt>
                <c:pt idx="11">
                  <c:v>0.61538461538461542</c:v>
                </c:pt>
                <c:pt idx="12">
                  <c:v>0.6428571428571429</c:v>
                </c:pt>
                <c:pt idx="13">
                  <c:v>0.66666666666666663</c:v>
                </c:pt>
                <c:pt idx="14">
                  <c:v>0.6875</c:v>
                </c:pt>
                <c:pt idx="15">
                  <c:v>0.70588235294117652</c:v>
                </c:pt>
                <c:pt idx="16">
                  <c:v>0.72222222222222221</c:v>
                </c:pt>
                <c:pt idx="17">
                  <c:v>0.73684210526315785</c:v>
                </c:pt>
                <c:pt idx="18">
                  <c:v>0.75</c:v>
                </c:pt>
                <c:pt idx="19">
                  <c:v>0.76190476190476186</c:v>
                </c:pt>
                <c:pt idx="20">
                  <c:v>0.77272727272727271</c:v>
                </c:pt>
                <c:pt idx="21">
                  <c:v>0.78260869565217395</c:v>
                </c:pt>
                <c:pt idx="22">
                  <c:v>0.79166666666666663</c:v>
                </c:pt>
                <c:pt idx="23">
                  <c:v>0.8</c:v>
                </c:pt>
                <c:pt idx="24">
                  <c:v>0.80769230769230771</c:v>
                </c:pt>
                <c:pt idx="25">
                  <c:v>0.81481481481481477</c:v>
                </c:pt>
                <c:pt idx="26">
                  <c:v>0.8214285714285714</c:v>
                </c:pt>
                <c:pt idx="27">
                  <c:v>0.82758620689655171</c:v>
                </c:pt>
                <c:pt idx="28">
                  <c:v>0.83333333333333337</c:v>
                </c:pt>
                <c:pt idx="29">
                  <c:v>0.83870967741935487</c:v>
                </c:pt>
                <c:pt idx="30">
                  <c:v>0.84375</c:v>
                </c:pt>
                <c:pt idx="31">
                  <c:v>0.84848484848484851</c:v>
                </c:pt>
                <c:pt idx="32">
                  <c:v>0.8529411764705882</c:v>
                </c:pt>
                <c:pt idx="33">
                  <c:v>0.8571428571428571</c:v>
                </c:pt>
                <c:pt idx="34">
                  <c:v>0.86111111111111116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1-4407-8E07-21930499D80D}"/>
            </c:ext>
          </c:extLst>
        </c:ser>
        <c:ser>
          <c:idx val="2"/>
          <c:order val="2"/>
          <c:tx>
            <c:v>Short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'03_Sensitivity'!$D$4:$D$38</c:f>
              <c:numCache>
                <c:formatCode>0.00%</c:formatCode>
                <c:ptCount val="35"/>
                <c:pt idx="0">
                  <c:v>1.8</c:v>
                </c:pt>
                <c:pt idx="1">
                  <c:v>1.7</c:v>
                </c:pt>
                <c:pt idx="2">
                  <c:v>1.6</c:v>
                </c:pt>
                <c:pt idx="3">
                  <c:v>1.5</c:v>
                </c:pt>
                <c:pt idx="4">
                  <c:v>1.4</c:v>
                </c:pt>
                <c:pt idx="5">
                  <c:v>1.3</c:v>
                </c:pt>
                <c:pt idx="6">
                  <c:v>1.2</c:v>
                </c:pt>
                <c:pt idx="7">
                  <c:v>1.1000000000000001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  <c:pt idx="16">
                  <c:v>0.2</c:v>
                </c:pt>
                <c:pt idx="17">
                  <c:v>0.1</c:v>
                </c:pt>
                <c:pt idx="18">
                  <c:v>0</c:v>
                </c:pt>
                <c:pt idx="19">
                  <c:v>-0.1</c:v>
                </c:pt>
                <c:pt idx="20">
                  <c:v>-0.2</c:v>
                </c:pt>
                <c:pt idx="21">
                  <c:v>-0.3</c:v>
                </c:pt>
                <c:pt idx="22">
                  <c:v>-0.4</c:v>
                </c:pt>
                <c:pt idx="23">
                  <c:v>-0.5</c:v>
                </c:pt>
                <c:pt idx="24">
                  <c:v>-0.6</c:v>
                </c:pt>
                <c:pt idx="25">
                  <c:v>-0.7</c:v>
                </c:pt>
                <c:pt idx="26">
                  <c:v>-0.8</c:v>
                </c:pt>
                <c:pt idx="27">
                  <c:v>-0.9</c:v>
                </c:pt>
                <c:pt idx="28">
                  <c:v>-1</c:v>
                </c:pt>
                <c:pt idx="29">
                  <c:v>-1.1000000000000001</c:v>
                </c:pt>
                <c:pt idx="30">
                  <c:v>-1.2</c:v>
                </c:pt>
                <c:pt idx="31">
                  <c:v>-1.3</c:v>
                </c:pt>
                <c:pt idx="32">
                  <c:v>-1.4</c:v>
                </c:pt>
                <c:pt idx="33">
                  <c:v>-1.5</c:v>
                </c:pt>
                <c:pt idx="34">
                  <c:v>-1.6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1-4407-8E07-21930499D80D}"/>
            </c:ext>
          </c:extLst>
        </c:ser>
        <c:ser>
          <c:idx val="3"/>
          <c:order val="3"/>
          <c:tx>
            <c:v>Short Margin Ratio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'03_Sensitivity'!$E$4:$E$38</c:f>
              <c:numCache>
                <c:formatCode>0.00%</c:formatCode>
                <c:ptCount val="35"/>
                <c:pt idx="0">
                  <c:v>14</c:v>
                </c:pt>
                <c:pt idx="1">
                  <c:v>9</c:v>
                </c:pt>
                <c:pt idx="2">
                  <c:v>6.5</c:v>
                </c:pt>
                <c:pt idx="3">
                  <c:v>5</c:v>
                </c:pt>
                <c:pt idx="4">
                  <c:v>4</c:v>
                </c:pt>
                <c:pt idx="5">
                  <c:v>3.2857142857142856</c:v>
                </c:pt>
                <c:pt idx="6">
                  <c:v>2.75</c:v>
                </c:pt>
                <c:pt idx="7">
                  <c:v>2.3333333333333335</c:v>
                </c:pt>
                <c:pt idx="8">
                  <c:v>2</c:v>
                </c:pt>
                <c:pt idx="9">
                  <c:v>1.7272727272727273</c:v>
                </c:pt>
                <c:pt idx="10">
                  <c:v>1.5</c:v>
                </c:pt>
                <c:pt idx="11">
                  <c:v>1.3076923076923077</c:v>
                </c:pt>
                <c:pt idx="12">
                  <c:v>1.1428571428571428</c:v>
                </c:pt>
                <c:pt idx="13">
                  <c:v>1</c:v>
                </c:pt>
                <c:pt idx="14">
                  <c:v>0.875</c:v>
                </c:pt>
                <c:pt idx="15">
                  <c:v>0.76470588235294112</c:v>
                </c:pt>
                <c:pt idx="16">
                  <c:v>0.66666666666666663</c:v>
                </c:pt>
                <c:pt idx="17">
                  <c:v>0.57894736842105265</c:v>
                </c:pt>
                <c:pt idx="18">
                  <c:v>0.5</c:v>
                </c:pt>
                <c:pt idx="19">
                  <c:v>0.42857142857142855</c:v>
                </c:pt>
                <c:pt idx="20">
                  <c:v>0.36363636363636365</c:v>
                </c:pt>
                <c:pt idx="21">
                  <c:v>0.30434782608695654</c:v>
                </c:pt>
                <c:pt idx="22">
                  <c:v>0.25</c:v>
                </c:pt>
                <c:pt idx="23">
                  <c:v>0.2</c:v>
                </c:pt>
                <c:pt idx="24">
                  <c:v>0.15384615384615385</c:v>
                </c:pt>
                <c:pt idx="25">
                  <c:v>0.1111111111111111</c:v>
                </c:pt>
                <c:pt idx="26">
                  <c:v>7.1428571428571425E-2</c:v>
                </c:pt>
                <c:pt idx="27">
                  <c:v>3.4482758620689655E-2</c:v>
                </c:pt>
                <c:pt idx="28">
                  <c:v>0</c:v>
                </c:pt>
                <c:pt idx="29">
                  <c:v>-3.2258064516129031E-2</c:v>
                </c:pt>
                <c:pt idx="30">
                  <c:v>-6.25E-2</c:v>
                </c:pt>
                <c:pt idx="31">
                  <c:v>-9.0909090909090912E-2</c:v>
                </c:pt>
                <c:pt idx="32">
                  <c:v>-0.11764705882352941</c:v>
                </c:pt>
                <c:pt idx="33">
                  <c:v>-0.14285714285714285</c:v>
                </c:pt>
                <c:pt idx="34">
                  <c:v>-0.16666666666666666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11-4407-8E07-21930499D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Long ROI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Long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'03_Sensitivity'!$B$4:$B$38</c:f>
              <c:numCache>
                <c:formatCode>0.00%</c:formatCode>
                <c:ptCount val="35"/>
                <c:pt idx="0">
                  <c:v>-1.6559999999999999</c:v>
                </c:pt>
                <c:pt idx="1">
                  <c:v>-1.456</c:v>
                </c:pt>
                <c:pt idx="2">
                  <c:v>-1.256</c:v>
                </c:pt>
                <c:pt idx="3">
                  <c:v>-1.056</c:v>
                </c:pt>
                <c:pt idx="4">
                  <c:v>-0.85599999999999998</c:v>
                </c:pt>
                <c:pt idx="5">
                  <c:v>-0.65600000000000003</c:v>
                </c:pt>
                <c:pt idx="6">
                  <c:v>-0.45600000000000002</c:v>
                </c:pt>
                <c:pt idx="7">
                  <c:v>-0.25600000000000001</c:v>
                </c:pt>
                <c:pt idx="8">
                  <c:v>-5.6000000000000001E-2</c:v>
                </c:pt>
                <c:pt idx="9">
                  <c:v>0.14399999999999999</c:v>
                </c:pt>
                <c:pt idx="10">
                  <c:v>0.34399999999999997</c:v>
                </c:pt>
                <c:pt idx="11">
                  <c:v>0.54400000000000004</c:v>
                </c:pt>
                <c:pt idx="12">
                  <c:v>0.74399999999999999</c:v>
                </c:pt>
                <c:pt idx="13">
                  <c:v>0.94399999999999995</c:v>
                </c:pt>
                <c:pt idx="14">
                  <c:v>1.1439999999999999</c:v>
                </c:pt>
                <c:pt idx="15">
                  <c:v>1.3440000000000001</c:v>
                </c:pt>
                <c:pt idx="16">
                  <c:v>1.544</c:v>
                </c:pt>
                <c:pt idx="17">
                  <c:v>1.744</c:v>
                </c:pt>
                <c:pt idx="18">
                  <c:v>1.944</c:v>
                </c:pt>
                <c:pt idx="19">
                  <c:v>2.1440000000000001</c:v>
                </c:pt>
                <c:pt idx="20">
                  <c:v>2.3439999999999999</c:v>
                </c:pt>
                <c:pt idx="21">
                  <c:v>2.544</c:v>
                </c:pt>
                <c:pt idx="22">
                  <c:v>2.7440000000000002</c:v>
                </c:pt>
                <c:pt idx="23">
                  <c:v>2.944</c:v>
                </c:pt>
                <c:pt idx="24">
                  <c:v>3.1440000000000001</c:v>
                </c:pt>
                <c:pt idx="25">
                  <c:v>3.3439999999999999</c:v>
                </c:pt>
                <c:pt idx="26">
                  <c:v>3.544</c:v>
                </c:pt>
                <c:pt idx="27">
                  <c:v>3.7440000000000002</c:v>
                </c:pt>
                <c:pt idx="28">
                  <c:v>3.944</c:v>
                </c:pt>
                <c:pt idx="29">
                  <c:v>4.1440000000000001</c:v>
                </c:pt>
                <c:pt idx="30">
                  <c:v>4.3440000000000003</c:v>
                </c:pt>
                <c:pt idx="31">
                  <c:v>4.5439999999999996</c:v>
                </c:pt>
                <c:pt idx="32">
                  <c:v>4.7439999999999998</c:v>
                </c:pt>
                <c:pt idx="33">
                  <c:v>4.944</c:v>
                </c:pt>
                <c:pt idx="34">
                  <c:v>5.1440000000000001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0-4296-963E-775A8400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Short ROI Curve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Long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'03_Sensitivity'!$B$4:$B$38</c:f>
              <c:numCache>
                <c:formatCode>0.00%</c:formatCode>
                <c:ptCount val="35"/>
                <c:pt idx="0">
                  <c:v>-1.6559999999999999</c:v>
                </c:pt>
                <c:pt idx="1">
                  <c:v>-1.456</c:v>
                </c:pt>
                <c:pt idx="2">
                  <c:v>-1.256</c:v>
                </c:pt>
                <c:pt idx="3">
                  <c:v>-1.056</c:v>
                </c:pt>
                <c:pt idx="4">
                  <c:v>-0.85599999999999998</c:v>
                </c:pt>
                <c:pt idx="5">
                  <c:v>-0.65600000000000003</c:v>
                </c:pt>
                <c:pt idx="6">
                  <c:v>-0.45600000000000002</c:v>
                </c:pt>
                <c:pt idx="7">
                  <c:v>-0.25600000000000001</c:v>
                </c:pt>
                <c:pt idx="8">
                  <c:v>-5.6000000000000001E-2</c:v>
                </c:pt>
                <c:pt idx="9">
                  <c:v>0.14399999999999999</c:v>
                </c:pt>
                <c:pt idx="10">
                  <c:v>0.34399999999999997</c:v>
                </c:pt>
                <c:pt idx="11">
                  <c:v>0.54400000000000004</c:v>
                </c:pt>
                <c:pt idx="12">
                  <c:v>0.74399999999999999</c:v>
                </c:pt>
                <c:pt idx="13">
                  <c:v>0.94399999999999995</c:v>
                </c:pt>
                <c:pt idx="14">
                  <c:v>1.1439999999999999</c:v>
                </c:pt>
                <c:pt idx="15">
                  <c:v>1.3440000000000001</c:v>
                </c:pt>
                <c:pt idx="16">
                  <c:v>1.544</c:v>
                </c:pt>
                <c:pt idx="17">
                  <c:v>1.744</c:v>
                </c:pt>
                <c:pt idx="18">
                  <c:v>1.944</c:v>
                </c:pt>
                <c:pt idx="19">
                  <c:v>2.1440000000000001</c:v>
                </c:pt>
                <c:pt idx="20">
                  <c:v>2.3439999999999999</c:v>
                </c:pt>
                <c:pt idx="21">
                  <c:v>2.544</c:v>
                </c:pt>
                <c:pt idx="22">
                  <c:v>2.7440000000000002</c:v>
                </c:pt>
                <c:pt idx="23">
                  <c:v>2.944</c:v>
                </c:pt>
                <c:pt idx="24">
                  <c:v>3.1440000000000001</c:v>
                </c:pt>
                <c:pt idx="25">
                  <c:v>3.3439999999999999</c:v>
                </c:pt>
                <c:pt idx="26">
                  <c:v>3.544</c:v>
                </c:pt>
                <c:pt idx="27">
                  <c:v>3.7440000000000002</c:v>
                </c:pt>
                <c:pt idx="28">
                  <c:v>3.944</c:v>
                </c:pt>
                <c:pt idx="29">
                  <c:v>4.1440000000000001</c:v>
                </c:pt>
                <c:pt idx="30">
                  <c:v>4.3440000000000003</c:v>
                </c:pt>
                <c:pt idx="31">
                  <c:v>4.5439999999999996</c:v>
                </c:pt>
                <c:pt idx="32">
                  <c:v>4.7439999999999998</c:v>
                </c:pt>
                <c:pt idx="33">
                  <c:v>4.944</c:v>
                </c:pt>
                <c:pt idx="34">
                  <c:v>5.1440000000000001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7-49B0-BBF5-CA5E23535D1F}"/>
            </c:ext>
          </c:extLst>
        </c:ser>
        <c:ser>
          <c:idx val="1"/>
          <c:order val="1"/>
          <c:tx>
            <c:v>Long Margin Ratio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'03_Sensitivity'!$C$4:$C$38</c:f>
              <c:numCache>
                <c:formatCode>0.00%</c:formatCode>
                <c:ptCount val="35"/>
                <c:pt idx="0">
                  <c:v>-1.5</c:v>
                </c:pt>
                <c:pt idx="1">
                  <c:v>-0.66666666666666663</c:v>
                </c:pt>
                <c:pt idx="2">
                  <c:v>-0.25</c:v>
                </c:pt>
                <c:pt idx="3">
                  <c:v>0</c:v>
                </c:pt>
                <c:pt idx="4">
                  <c:v>0.16666666666666666</c:v>
                </c:pt>
                <c:pt idx="5">
                  <c:v>0.2857142857142857</c:v>
                </c:pt>
                <c:pt idx="6">
                  <c:v>0.375</c:v>
                </c:pt>
                <c:pt idx="7">
                  <c:v>0.44444444444444442</c:v>
                </c:pt>
                <c:pt idx="8">
                  <c:v>0.5</c:v>
                </c:pt>
                <c:pt idx="9">
                  <c:v>0.54545454545454541</c:v>
                </c:pt>
                <c:pt idx="10">
                  <c:v>0.58333333333333337</c:v>
                </c:pt>
                <c:pt idx="11">
                  <c:v>0.61538461538461542</c:v>
                </c:pt>
                <c:pt idx="12">
                  <c:v>0.6428571428571429</c:v>
                </c:pt>
                <c:pt idx="13">
                  <c:v>0.66666666666666663</c:v>
                </c:pt>
                <c:pt idx="14">
                  <c:v>0.6875</c:v>
                </c:pt>
                <c:pt idx="15">
                  <c:v>0.70588235294117652</c:v>
                </c:pt>
                <c:pt idx="16">
                  <c:v>0.72222222222222221</c:v>
                </c:pt>
                <c:pt idx="17">
                  <c:v>0.73684210526315785</c:v>
                </c:pt>
                <c:pt idx="18">
                  <c:v>0.75</c:v>
                </c:pt>
                <c:pt idx="19">
                  <c:v>0.76190476190476186</c:v>
                </c:pt>
                <c:pt idx="20">
                  <c:v>0.77272727272727271</c:v>
                </c:pt>
                <c:pt idx="21">
                  <c:v>0.78260869565217395</c:v>
                </c:pt>
                <c:pt idx="22">
                  <c:v>0.79166666666666663</c:v>
                </c:pt>
                <c:pt idx="23">
                  <c:v>0.8</c:v>
                </c:pt>
                <c:pt idx="24">
                  <c:v>0.80769230769230771</c:v>
                </c:pt>
                <c:pt idx="25">
                  <c:v>0.81481481481481477</c:v>
                </c:pt>
                <c:pt idx="26">
                  <c:v>0.8214285714285714</c:v>
                </c:pt>
                <c:pt idx="27">
                  <c:v>0.82758620689655171</c:v>
                </c:pt>
                <c:pt idx="28">
                  <c:v>0.83333333333333337</c:v>
                </c:pt>
                <c:pt idx="29">
                  <c:v>0.83870967741935487</c:v>
                </c:pt>
                <c:pt idx="30">
                  <c:v>0.84375</c:v>
                </c:pt>
                <c:pt idx="31">
                  <c:v>0.84848484848484851</c:v>
                </c:pt>
                <c:pt idx="32">
                  <c:v>0.8529411764705882</c:v>
                </c:pt>
                <c:pt idx="33">
                  <c:v>0.8571428571428571</c:v>
                </c:pt>
                <c:pt idx="34">
                  <c:v>0.86111111111111116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7-49B0-BBF5-CA5E23535D1F}"/>
            </c:ext>
          </c:extLst>
        </c:ser>
        <c:ser>
          <c:idx val="2"/>
          <c:order val="2"/>
          <c:tx>
            <c:v>Short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'03_Sensitivity'!$D$4:$D$38</c:f>
              <c:numCache>
                <c:formatCode>0.00%</c:formatCode>
                <c:ptCount val="35"/>
                <c:pt idx="0">
                  <c:v>1.8</c:v>
                </c:pt>
                <c:pt idx="1">
                  <c:v>1.7</c:v>
                </c:pt>
                <c:pt idx="2">
                  <c:v>1.6</c:v>
                </c:pt>
                <c:pt idx="3">
                  <c:v>1.5</c:v>
                </c:pt>
                <c:pt idx="4">
                  <c:v>1.4</c:v>
                </c:pt>
                <c:pt idx="5">
                  <c:v>1.3</c:v>
                </c:pt>
                <c:pt idx="6">
                  <c:v>1.2</c:v>
                </c:pt>
                <c:pt idx="7">
                  <c:v>1.1000000000000001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  <c:pt idx="16">
                  <c:v>0.2</c:v>
                </c:pt>
                <c:pt idx="17">
                  <c:v>0.1</c:v>
                </c:pt>
                <c:pt idx="18">
                  <c:v>0</c:v>
                </c:pt>
                <c:pt idx="19">
                  <c:v>-0.1</c:v>
                </c:pt>
                <c:pt idx="20">
                  <c:v>-0.2</c:v>
                </c:pt>
                <c:pt idx="21">
                  <c:v>-0.3</c:v>
                </c:pt>
                <c:pt idx="22">
                  <c:v>-0.4</c:v>
                </c:pt>
                <c:pt idx="23">
                  <c:v>-0.5</c:v>
                </c:pt>
                <c:pt idx="24">
                  <c:v>-0.6</c:v>
                </c:pt>
                <c:pt idx="25">
                  <c:v>-0.7</c:v>
                </c:pt>
                <c:pt idx="26">
                  <c:v>-0.8</c:v>
                </c:pt>
                <c:pt idx="27">
                  <c:v>-0.9</c:v>
                </c:pt>
                <c:pt idx="28">
                  <c:v>-1</c:v>
                </c:pt>
                <c:pt idx="29">
                  <c:v>-1.1000000000000001</c:v>
                </c:pt>
                <c:pt idx="30">
                  <c:v>-1.2</c:v>
                </c:pt>
                <c:pt idx="31">
                  <c:v>-1.3</c:v>
                </c:pt>
                <c:pt idx="32">
                  <c:v>-1.4</c:v>
                </c:pt>
                <c:pt idx="33">
                  <c:v>-1.5</c:v>
                </c:pt>
                <c:pt idx="34">
                  <c:v>-1.6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7-49B0-BBF5-CA5E23535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Sensitivity Curves: Stock Price, ROI, and Margin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Long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'03_Sensitivity'!$B$4:$B$38</c:f>
              <c:numCache>
                <c:formatCode>0.00%</c:formatCode>
                <c:ptCount val="35"/>
                <c:pt idx="0">
                  <c:v>-1.6559999999999999</c:v>
                </c:pt>
                <c:pt idx="1">
                  <c:v>-1.456</c:v>
                </c:pt>
                <c:pt idx="2">
                  <c:v>-1.256</c:v>
                </c:pt>
                <c:pt idx="3">
                  <c:v>-1.056</c:v>
                </c:pt>
                <c:pt idx="4">
                  <c:v>-0.85599999999999998</c:v>
                </c:pt>
                <c:pt idx="5">
                  <c:v>-0.65600000000000003</c:v>
                </c:pt>
                <c:pt idx="6">
                  <c:v>-0.45600000000000002</c:v>
                </c:pt>
                <c:pt idx="7">
                  <c:v>-0.25600000000000001</c:v>
                </c:pt>
                <c:pt idx="8">
                  <c:v>-5.6000000000000001E-2</c:v>
                </c:pt>
                <c:pt idx="9">
                  <c:v>0.14399999999999999</c:v>
                </c:pt>
                <c:pt idx="10">
                  <c:v>0.34399999999999997</c:v>
                </c:pt>
                <c:pt idx="11">
                  <c:v>0.54400000000000004</c:v>
                </c:pt>
                <c:pt idx="12">
                  <c:v>0.74399999999999999</c:v>
                </c:pt>
                <c:pt idx="13">
                  <c:v>0.94399999999999995</c:v>
                </c:pt>
                <c:pt idx="14">
                  <c:v>1.1439999999999999</c:v>
                </c:pt>
                <c:pt idx="15">
                  <c:v>1.3440000000000001</c:v>
                </c:pt>
                <c:pt idx="16">
                  <c:v>1.544</c:v>
                </c:pt>
                <c:pt idx="17">
                  <c:v>1.744</c:v>
                </c:pt>
                <c:pt idx="18">
                  <c:v>1.944</c:v>
                </c:pt>
                <c:pt idx="19">
                  <c:v>2.1440000000000001</c:v>
                </c:pt>
                <c:pt idx="20">
                  <c:v>2.3439999999999999</c:v>
                </c:pt>
                <c:pt idx="21">
                  <c:v>2.544</c:v>
                </c:pt>
                <c:pt idx="22">
                  <c:v>2.7440000000000002</c:v>
                </c:pt>
                <c:pt idx="23">
                  <c:v>2.944</c:v>
                </c:pt>
                <c:pt idx="24">
                  <c:v>3.1440000000000001</c:v>
                </c:pt>
                <c:pt idx="25">
                  <c:v>3.3439999999999999</c:v>
                </c:pt>
                <c:pt idx="26">
                  <c:v>3.544</c:v>
                </c:pt>
                <c:pt idx="27">
                  <c:v>3.7440000000000002</c:v>
                </c:pt>
                <c:pt idx="28">
                  <c:v>3.944</c:v>
                </c:pt>
                <c:pt idx="29">
                  <c:v>4.1440000000000001</c:v>
                </c:pt>
                <c:pt idx="30">
                  <c:v>4.3440000000000003</c:v>
                </c:pt>
                <c:pt idx="31">
                  <c:v>4.5439999999999996</c:v>
                </c:pt>
                <c:pt idx="32">
                  <c:v>4.7439999999999998</c:v>
                </c:pt>
                <c:pt idx="33">
                  <c:v>4.944</c:v>
                </c:pt>
                <c:pt idx="34">
                  <c:v>5.1440000000000001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B-44E5-AB8D-1A93D4D3FB68}"/>
            </c:ext>
          </c:extLst>
        </c:ser>
        <c:ser>
          <c:idx val="1"/>
          <c:order val="1"/>
          <c:tx>
            <c:v>Long Margin Ratio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'03_Sensitivity'!$C$4:$C$38</c:f>
              <c:numCache>
                <c:formatCode>0.00%</c:formatCode>
                <c:ptCount val="35"/>
                <c:pt idx="0">
                  <c:v>-1.5</c:v>
                </c:pt>
                <c:pt idx="1">
                  <c:v>-0.66666666666666663</c:v>
                </c:pt>
                <c:pt idx="2">
                  <c:v>-0.25</c:v>
                </c:pt>
                <c:pt idx="3">
                  <c:v>0</c:v>
                </c:pt>
                <c:pt idx="4">
                  <c:v>0.16666666666666666</c:v>
                </c:pt>
                <c:pt idx="5">
                  <c:v>0.2857142857142857</c:v>
                </c:pt>
                <c:pt idx="6">
                  <c:v>0.375</c:v>
                </c:pt>
                <c:pt idx="7">
                  <c:v>0.44444444444444442</c:v>
                </c:pt>
                <c:pt idx="8">
                  <c:v>0.5</c:v>
                </c:pt>
                <c:pt idx="9">
                  <c:v>0.54545454545454541</c:v>
                </c:pt>
                <c:pt idx="10">
                  <c:v>0.58333333333333337</c:v>
                </c:pt>
                <c:pt idx="11">
                  <c:v>0.61538461538461542</c:v>
                </c:pt>
                <c:pt idx="12">
                  <c:v>0.6428571428571429</c:v>
                </c:pt>
                <c:pt idx="13">
                  <c:v>0.66666666666666663</c:v>
                </c:pt>
                <c:pt idx="14">
                  <c:v>0.6875</c:v>
                </c:pt>
                <c:pt idx="15">
                  <c:v>0.70588235294117652</c:v>
                </c:pt>
                <c:pt idx="16">
                  <c:v>0.72222222222222221</c:v>
                </c:pt>
                <c:pt idx="17">
                  <c:v>0.73684210526315785</c:v>
                </c:pt>
                <c:pt idx="18">
                  <c:v>0.75</c:v>
                </c:pt>
                <c:pt idx="19">
                  <c:v>0.76190476190476186</c:v>
                </c:pt>
                <c:pt idx="20">
                  <c:v>0.77272727272727271</c:v>
                </c:pt>
                <c:pt idx="21">
                  <c:v>0.78260869565217395</c:v>
                </c:pt>
                <c:pt idx="22">
                  <c:v>0.79166666666666663</c:v>
                </c:pt>
                <c:pt idx="23">
                  <c:v>0.8</c:v>
                </c:pt>
                <c:pt idx="24">
                  <c:v>0.80769230769230771</c:v>
                </c:pt>
                <c:pt idx="25">
                  <c:v>0.81481481481481477</c:v>
                </c:pt>
                <c:pt idx="26">
                  <c:v>0.8214285714285714</c:v>
                </c:pt>
                <c:pt idx="27">
                  <c:v>0.82758620689655171</c:v>
                </c:pt>
                <c:pt idx="28">
                  <c:v>0.83333333333333337</c:v>
                </c:pt>
                <c:pt idx="29">
                  <c:v>0.83870967741935487</c:v>
                </c:pt>
                <c:pt idx="30">
                  <c:v>0.84375</c:v>
                </c:pt>
                <c:pt idx="31">
                  <c:v>0.84848484848484851</c:v>
                </c:pt>
                <c:pt idx="32">
                  <c:v>0.8529411764705882</c:v>
                </c:pt>
                <c:pt idx="33">
                  <c:v>0.8571428571428571</c:v>
                </c:pt>
                <c:pt idx="34">
                  <c:v>0.86111111111111116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B-44E5-AB8D-1A93D4D3FB68}"/>
            </c:ext>
          </c:extLst>
        </c:ser>
        <c:ser>
          <c:idx val="2"/>
          <c:order val="2"/>
          <c:tx>
            <c:v>Short ROI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'03_Sensitivity'!$D$4:$D$38</c:f>
              <c:numCache>
                <c:formatCode>0.00%</c:formatCode>
                <c:ptCount val="35"/>
                <c:pt idx="0">
                  <c:v>1.8</c:v>
                </c:pt>
                <c:pt idx="1">
                  <c:v>1.7</c:v>
                </c:pt>
                <c:pt idx="2">
                  <c:v>1.6</c:v>
                </c:pt>
                <c:pt idx="3">
                  <c:v>1.5</c:v>
                </c:pt>
                <c:pt idx="4">
                  <c:v>1.4</c:v>
                </c:pt>
                <c:pt idx="5">
                  <c:v>1.3</c:v>
                </c:pt>
                <c:pt idx="6">
                  <c:v>1.2</c:v>
                </c:pt>
                <c:pt idx="7">
                  <c:v>1.1000000000000001</c:v>
                </c:pt>
                <c:pt idx="8">
                  <c:v>1</c:v>
                </c:pt>
                <c:pt idx="9">
                  <c:v>0.9</c:v>
                </c:pt>
                <c:pt idx="10">
                  <c:v>0.8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</c:v>
                </c:pt>
                <c:pt idx="16">
                  <c:v>0.2</c:v>
                </c:pt>
                <c:pt idx="17">
                  <c:v>0.1</c:v>
                </c:pt>
                <c:pt idx="18">
                  <c:v>0</c:v>
                </c:pt>
                <c:pt idx="19">
                  <c:v>-0.1</c:v>
                </c:pt>
                <c:pt idx="20">
                  <c:v>-0.2</c:v>
                </c:pt>
                <c:pt idx="21">
                  <c:v>-0.3</c:v>
                </c:pt>
                <c:pt idx="22">
                  <c:v>-0.4</c:v>
                </c:pt>
                <c:pt idx="23">
                  <c:v>-0.5</c:v>
                </c:pt>
                <c:pt idx="24">
                  <c:v>-0.6</c:v>
                </c:pt>
                <c:pt idx="25">
                  <c:v>-0.7</c:v>
                </c:pt>
                <c:pt idx="26">
                  <c:v>-0.8</c:v>
                </c:pt>
                <c:pt idx="27">
                  <c:v>-0.9</c:v>
                </c:pt>
                <c:pt idx="28">
                  <c:v>-1</c:v>
                </c:pt>
                <c:pt idx="29">
                  <c:v>-1.1000000000000001</c:v>
                </c:pt>
                <c:pt idx="30">
                  <c:v>-1.2</c:v>
                </c:pt>
                <c:pt idx="31">
                  <c:v>-1.3</c:v>
                </c:pt>
                <c:pt idx="32">
                  <c:v>-1.4</c:v>
                </c:pt>
                <c:pt idx="33">
                  <c:v>-1.5</c:v>
                </c:pt>
                <c:pt idx="34">
                  <c:v>-1.6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B-44E5-AB8D-1A93D4D3FB68}"/>
            </c:ext>
          </c:extLst>
        </c:ser>
        <c:ser>
          <c:idx val="3"/>
          <c:order val="3"/>
          <c:tx>
            <c:v>Short Margin Ratio</c:v>
          </c:tx>
          <c:cat>
            <c:numRef>
              <c:f>'03_Sensitivity'!$A$4:$A$38</c:f>
              <c:numCache>
                <c:formatCode>\$#,##0.00</c:formatCode>
                <c:ptCount val="3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</c:numCache>
            </c:numRef>
          </c:cat>
          <c:val>
            <c:numRef>
              <c:f>'03_Sensitivity'!$E$4:$E$38</c:f>
              <c:numCache>
                <c:formatCode>0.00%</c:formatCode>
                <c:ptCount val="35"/>
                <c:pt idx="0">
                  <c:v>14</c:v>
                </c:pt>
                <c:pt idx="1">
                  <c:v>9</c:v>
                </c:pt>
                <c:pt idx="2">
                  <c:v>6.5</c:v>
                </c:pt>
                <c:pt idx="3">
                  <c:v>5</c:v>
                </c:pt>
                <c:pt idx="4">
                  <c:v>4</c:v>
                </c:pt>
                <c:pt idx="5">
                  <c:v>3.2857142857142856</c:v>
                </c:pt>
                <c:pt idx="6">
                  <c:v>2.75</c:v>
                </c:pt>
                <c:pt idx="7">
                  <c:v>2.3333333333333335</c:v>
                </c:pt>
                <c:pt idx="8">
                  <c:v>2</c:v>
                </c:pt>
                <c:pt idx="9">
                  <c:v>1.7272727272727273</c:v>
                </c:pt>
                <c:pt idx="10">
                  <c:v>1.5</c:v>
                </c:pt>
                <c:pt idx="11">
                  <c:v>1.3076923076923077</c:v>
                </c:pt>
                <c:pt idx="12">
                  <c:v>1.1428571428571428</c:v>
                </c:pt>
                <c:pt idx="13">
                  <c:v>1</c:v>
                </c:pt>
                <c:pt idx="14">
                  <c:v>0.875</c:v>
                </c:pt>
                <c:pt idx="15">
                  <c:v>0.76470588235294112</c:v>
                </c:pt>
                <c:pt idx="16">
                  <c:v>0.66666666666666663</c:v>
                </c:pt>
                <c:pt idx="17">
                  <c:v>0.57894736842105265</c:v>
                </c:pt>
                <c:pt idx="18">
                  <c:v>0.5</c:v>
                </c:pt>
                <c:pt idx="19">
                  <c:v>0.42857142857142855</c:v>
                </c:pt>
                <c:pt idx="20">
                  <c:v>0.36363636363636365</c:v>
                </c:pt>
                <c:pt idx="21">
                  <c:v>0.30434782608695654</c:v>
                </c:pt>
                <c:pt idx="22">
                  <c:v>0.25</c:v>
                </c:pt>
                <c:pt idx="23">
                  <c:v>0.2</c:v>
                </c:pt>
                <c:pt idx="24">
                  <c:v>0.15384615384615385</c:v>
                </c:pt>
                <c:pt idx="25">
                  <c:v>0.1111111111111111</c:v>
                </c:pt>
                <c:pt idx="26">
                  <c:v>7.1428571428571425E-2</c:v>
                </c:pt>
                <c:pt idx="27">
                  <c:v>3.4482758620689655E-2</c:v>
                </c:pt>
                <c:pt idx="28">
                  <c:v>0</c:v>
                </c:pt>
                <c:pt idx="29">
                  <c:v>-3.2258064516129031E-2</c:v>
                </c:pt>
                <c:pt idx="30">
                  <c:v>-6.25E-2</c:v>
                </c:pt>
                <c:pt idx="31">
                  <c:v>-9.0909090909090912E-2</c:v>
                </c:pt>
                <c:pt idx="32">
                  <c:v>-0.11764705882352941</c:v>
                </c:pt>
                <c:pt idx="33">
                  <c:v>-0.14285714285714285</c:v>
                </c:pt>
                <c:pt idx="34">
                  <c:v>-0.16666666666666666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BB-44E5-AB8D-1A93D4D3F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1</xdr:row>
      <xdr:rowOff>142875</xdr:rowOff>
    </xdr:from>
    <xdr:to>
      <xdr:col>14</xdr:col>
      <xdr:colOff>390525</xdr:colOff>
      <xdr:row>18</xdr:row>
      <xdr:rowOff>142875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419099</xdr:colOff>
      <xdr:row>21</xdr:row>
      <xdr:rowOff>19050</xdr:rowOff>
    </xdr:from>
    <xdr:to>
      <xdr:col>14</xdr:col>
      <xdr:colOff>523874</xdr:colOff>
      <xdr:row>38</xdr:row>
      <xdr:rowOff>123825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14</xdr:col>
      <xdr:colOff>0</xdr:colOff>
      <xdr:row>62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8"/>
  <sheetViews>
    <sheetView workbookViewId="0">
      <selection activeCell="B18" sqref="B18"/>
    </sheetView>
  </sheetViews>
  <sheetFormatPr defaultRowHeight="14.25"/>
  <cols>
    <col min="1" max="1" width="33" bestFit="1" customWidth="1"/>
    <col min="2" max="2" width="16.25" bestFit="1" customWidth="1"/>
    <col min="3" max="3" width="19.625" bestFit="1" customWidth="1"/>
    <col min="4" max="4" width="28.25" bestFit="1" customWidth="1"/>
    <col min="5" max="5" width="21.125" customWidth="1"/>
    <col min="7" max="7" width="19.75" bestFit="1" customWidth="1"/>
    <col min="8" max="8" width="7.625" bestFit="1" customWidth="1"/>
  </cols>
  <sheetData>
    <row r="1" spans="1:17" ht="27.95" customHeight="1">
      <c r="A1" s="29" t="s">
        <v>0</v>
      </c>
      <c r="B1" s="29"/>
      <c r="C1" s="29"/>
      <c r="D1" s="29"/>
      <c r="E1" s="29"/>
      <c r="F1" s="29"/>
      <c r="G1" s="29"/>
      <c r="H1" s="29"/>
      <c r="I1" s="24"/>
      <c r="J1" s="24"/>
      <c r="K1" s="24"/>
      <c r="L1" s="24"/>
      <c r="M1" s="24"/>
      <c r="N1" s="24"/>
      <c r="O1" s="24"/>
    </row>
    <row r="3" spans="1:17" ht="15.75">
      <c r="A3" s="1" t="s">
        <v>1</v>
      </c>
      <c r="B3" s="2" t="s">
        <v>2</v>
      </c>
      <c r="D3" s="1" t="s">
        <v>3</v>
      </c>
      <c r="E3" s="2" t="s">
        <v>2</v>
      </c>
      <c r="G3" s="1" t="s">
        <v>4</v>
      </c>
      <c r="H3" s="2" t="s">
        <v>2</v>
      </c>
    </row>
    <row r="4" spans="1:17" ht="15">
      <c r="A4" s="3" t="s">
        <v>5</v>
      </c>
      <c r="B4" s="32">
        <v>10000</v>
      </c>
      <c r="D4" s="3" t="s">
        <v>6</v>
      </c>
      <c r="E4" s="5">
        <f>B4+B5</f>
        <v>20000</v>
      </c>
      <c r="G4" s="3" t="s">
        <v>7</v>
      </c>
      <c r="H4" s="9">
        <f>E11</f>
        <v>-0.45600000000000002</v>
      </c>
    </row>
    <row r="5" spans="1:17" ht="15">
      <c r="A5" s="3" t="s">
        <v>8</v>
      </c>
      <c r="B5" s="32">
        <v>10000</v>
      </c>
      <c r="D5" s="3" t="s">
        <v>9</v>
      </c>
      <c r="E5" s="6">
        <f>E4/B6</f>
        <v>400</v>
      </c>
      <c r="G5" s="3" t="s">
        <v>10</v>
      </c>
      <c r="H5" s="9">
        <f>E12</f>
        <v>0.375</v>
      </c>
    </row>
    <row r="6" spans="1:17" ht="15">
      <c r="A6" s="3" t="s">
        <v>11</v>
      </c>
      <c r="B6" s="32">
        <v>50</v>
      </c>
      <c r="D6" s="3" t="s">
        <v>12</v>
      </c>
      <c r="E6" s="5">
        <f>E5*(B7-B6)</f>
        <v>-4000</v>
      </c>
      <c r="G6" s="3" t="s">
        <v>13</v>
      </c>
      <c r="H6" s="10">
        <f>E13</f>
        <v>35.714285714285715</v>
      </c>
      <c r="Q6" s="28"/>
    </row>
    <row r="7" spans="1:17" ht="15">
      <c r="A7" s="3" t="s">
        <v>14</v>
      </c>
      <c r="B7" s="32">
        <v>40</v>
      </c>
      <c r="D7" s="3" t="s">
        <v>15</v>
      </c>
      <c r="E7" s="5">
        <f>E5*B8</f>
        <v>240</v>
      </c>
      <c r="G7" s="3" t="s">
        <v>16</v>
      </c>
      <c r="H7" s="11">
        <f>E4/B4</f>
        <v>2</v>
      </c>
    </row>
    <row r="8" spans="1:17" ht="15">
      <c r="A8" s="3" t="s">
        <v>17</v>
      </c>
      <c r="B8" s="33">
        <v>0.6</v>
      </c>
      <c r="D8" s="3" t="s">
        <v>18</v>
      </c>
      <c r="E8" s="5">
        <f>B5*B9*(B10/12)</f>
        <v>800</v>
      </c>
      <c r="G8" s="4" t="s">
        <v>19</v>
      </c>
      <c r="H8" s="12" t="str">
        <f>IF(B7&lt;=E13,"MARGIN CALL / Below Threshold","Safe")</f>
        <v>Safe</v>
      </c>
    </row>
    <row r="9" spans="1:17" ht="15">
      <c r="A9" s="3" t="s">
        <v>20</v>
      </c>
      <c r="B9" s="34">
        <v>0.08</v>
      </c>
      <c r="D9" s="3" t="s">
        <v>21</v>
      </c>
      <c r="E9" s="5">
        <f>E6+E7-E8</f>
        <v>-4560</v>
      </c>
    </row>
    <row r="10" spans="1:17" ht="15">
      <c r="A10" s="3" t="s">
        <v>22</v>
      </c>
      <c r="B10" s="35">
        <v>12</v>
      </c>
      <c r="D10" s="3" t="s">
        <v>23</v>
      </c>
      <c r="E10" s="5">
        <f>B4</f>
        <v>10000</v>
      </c>
    </row>
    <row r="11" spans="1:17" ht="15">
      <c r="A11" s="4" t="s">
        <v>24</v>
      </c>
      <c r="B11" s="36">
        <v>0.3</v>
      </c>
      <c r="D11" s="3" t="s">
        <v>25</v>
      </c>
      <c r="E11" s="7">
        <f>E9/E10</f>
        <v>-0.45600000000000002</v>
      </c>
    </row>
    <row r="12" spans="1:17" ht="15">
      <c r="D12" s="3" t="s">
        <v>26</v>
      </c>
      <c r="E12" s="7">
        <f>((E5*B7)-B5)/(E5*B7)</f>
        <v>0.375</v>
      </c>
    </row>
    <row r="13" spans="1:17" ht="15">
      <c r="D13" s="4" t="s">
        <v>27</v>
      </c>
      <c r="E13" s="8">
        <f>B5/(E5*(1-B11))</f>
        <v>35.714285714285715</v>
      </c>
    </row>
    <row r="15" spans="1:17" ht="15.75">
      <c r="A15" s="1" t="s">
        <v>14</v>
      </c>
      <c r="B15" s="13" t="s">
        <v>28</v>
      </c>
      <c r="C15" s="13" t="s">
        <v>29</v>
      </c>
      <c r="D15" s="2" t="s">
        <v>30</v>
      </c>
    </row>
    <row r="16" spans="1:17">
      <c r="A16" s="14">
        <v>20</v>
      </c>
      <c r="B16" s="15">
        <f>((($E$5*A16)-$E$4)+($E$5*$B$8)-$E$8)/$B$4</f>
        <v>-1.256</v>
      </c>
      <c r="C16" s="15">
        <f t="shared" ref="C16:C28" si="0">((($B$4/$B$6)*A16)-$B$4+(($B$4/$B$6)*$B$8))/$B$4</f>
        <v>-0.58799999999999997</v>
      </c>
      <c r="D16" s="16">
        <f t="shared" ref="D16:D28" si="1">((($E$5*A16)-$B$5)/($E$5*A16))</f>
        <v>-0.25</v>
      </c>
    </row>
    <row r="17" spans="1:4">
      <c r="A17" s="14">
        <v>25</v>
      </c>
      <c r="B17" s="15">
        <f t="shared" ref="B17:B28" si="2">((($E$5*A17)-$E$4)+($E$5*$B$8)-$E$8)/$B$4</f>
        <v>-1.056</v>
      </c>
      <c r="C17" s="15">
        <f t="shared" si="0"/>
        <v>-0.48799999999999999</v>
      </c>
      <c r="D17" s="16">
        <f t="shared" si="1"/>
        <v>0</v>
      </c>
    </row>
    <row r="18" spans="1:4">
      <c r="A18" s="14">
        <v>30</v>
      </c>
      <c r="B18" s="15">
        <f t="shared" si="2"/>
        <v>-0.85599999999999998</v>
      </c>
      <c r="C18" s="15">
        <f t="shared" si="0"/>
        <v>-0.38800000000000001</v>
      </c>
      <c r="D18" s="16">
        <f t="shared" si="1"/>
        <v>0.16666666666666666</v>
      </c>
    </row>
    <row r="19" spans="1:4">
      <c r="A19" s="14">
        <v>35</v>
      </c>
      <c r="B19" s="15">
        <f t="shared" si="2"/>
        <v>-0.65600000000000003</v>
      </c>
      <c r="C19" s="15">
        <f t="shared" si="0"/>
        <v>-0.28799999999999998</v>
      </c>
      <c r="D19" s="16">
        <f t="shared" si="1"/>
        <v>0.2857142857142857</v>
      </c>
    </row>
    <row r="20" spans="1:4">
      <c r="A20" s="25">
        <v>40</v>
      </c>
      <c r="B20" s="26">
        <f t="shared" si="2"/>
        <v>-0.45600000000000002</v>
      </c>
      <c r="C20" s="26">
        <f>((($B$4/$B$6)*A20)-$B$4+(($B$4/$B$6)*$B$8))/$B$4</f>
        <v>-0.188</v>
      </c>
      <c r="D20" s="27">
        <f t="shared" si="1"/>
        <v>0.375</v>
      </c>
    </row>
    <row r="21" spans="1:4">
      <c r="A21" s="14">
        <v>45</v>
      </c>
      <c r="B21" s="15">
        <f t="shared" si="2"/>
        <v>-0.25600000000000001</v>
      </c>
      <c r="C21" s="15">
        <f t="shared" si="0"/>
        <v>-8.7999999999999995E-2</v>
      </c>
      <c r="D21" s="16">
        <f t="shared" si="1"/>
        <v>0.44444444444444442</v>
      </c>
    </row>
    <row r="22" spans="1:4">
      <c r="A22" s="14">
        <v>50</v>
      </c>
      <c r="B22" s="15">
        <f t="shared" si="2"/>
        <v>-5.6000000000000001E-2</v>
      </c>
      <c r="C22" s="15">
        <f t="shared" si="0"/>
        <v>1.2E-2</v>
      </c>
      <c r="D22" s="16">
        <f t="shared" si="1"/>
        <v>0.5</v>
      </c>
    </row>
    <row r="23" spans="1:4">
      <c r="A23" s="14">
        <v>55</v>
      </c>
      <c r="B23" s="15">
        <f t="shared" si="2"/>
        <v>0.14399999999999999</v>
      </c>
      <c r="C23" s="15">
        <f t="shared" si="0"/>
        <v>0.112</v>
      </c>
      <c r="D23" s="16">
        <f t="shared" si="1"/>
        <v>0.54545454545454541</v>
      </c>
    </row>
    <row r="24" spans="1:4">
      <c r="A24" s="14">
        <v>60</v>
      </c>
      <c r="B24" s="15">
        <f t="shared" si="2"/>
        <v>0.34399999999999997</v>
      </c>
      <c r="C24" s="15">
        <f t="shared" si="0"/>
        <v>0.21199999999999999</v>
      </c>
      <c r="D24" s="16">
        <f t="shared" si="1"/>
        <v>0.58333333333333337</v>
      </c>
    </row>
    <row r="25" spans="1:4">
      <c r="A25" s="14">
        <v>65</v>
      </c>
      <c r="B25" s="15">
        <f t="shared" si="2"/>
        <v>0.54400000000000004</v>
      </c>
      <c r="C25" s="15">
        <f t="shared" si="0"/>
        <v>0.312</v>
      </c>
      <c r="D25" s="16">
        <f t="shared" si="1"/>
        <v>0.61538461538461542</v>
      </c>
    </row>
    <row r="26" spans="1:4">
      <c r="A26" s="14">
        <v>70</v>
      </c>
      <c r="B26" s="15">
        <f t="shared" si="2"/>
        <v>0.74399999999999999</v>
      </c>
      <c r="C26" s="15">
        <f t="shared" si="0"/>
        <v>0.41199999999999998</v>
      </c>
      <c r="D26" s="16">
        <f t="shared" si="1"/>
        <v>0.6428571428571429</v>
      </c>
    </row>
    <row r="27" spans="1:4">
      <c r="A27" s="14">
        <v>75</v>
      </c>
      <c r="B27" s="15">
        <f t="shared" si="2"/>
        <v>0.94399999999999995</v>
      </c>
      <c r="C27" s="15">
        <f t="shared" si="0"/>
        <v>0.51200000000000001</v>
      </c>
      <c r="D27" s="16">
        <f t="shared" si="1"/>
        <v>0.66666666666666663</v>
      </c>
    </row>
    <row r="28" spans="1:4">
      <c r="A28" s="17">
        <v>80</v>
      </c>
      <c r="B28" s="18">
        <f t="shared" si="2"/>
        <v>1.1439999999999999</v>
      </c>
      <c r="C28" s="18">
        <f t="shared" si="0"/>
        <v>0.61199999999999999</v>
      </c>
      <c r="D28" s="19">
        <f t="shared" si="1"/>
        <v>0.6875</v>
      </c>
    </row>
  </sheetData>
  <sheetProtection algorithmName="SHA-512" hashValue="CLgft20qDS5Cy11uyaIcqDNRghibL/0115GqlO9kP7054SZTa/TysgSYZizG2ubtptGtGPmBYiXpF5bxKT3OXQ==" saltValue="lVw/BcaE2chaxIC5X3i8OQ==" spinCount="100000" sheet="1" objects="1" scenarios="1"/>
  <mergeCells count="1">
    <mergeCell ref="A1:H1"/>
  </mergeCells>
  <conditionalFormatting sqref="H4:H5">
    <cfRule type="cellIs" dxfId="2" priority="1" operator="lessThan">
      <formula>0</formula>
    </cfRule>
  </conditionalFormatting>
  <conditionalFormatting sqref="H8">
    <cfRule type="expression" dxfId="1" priority="2">
      <formula>LEFT(H8,6)="MARGIN"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35"/>
  <sheetViews>
    <sheetView workbookViewId="0">
      <selection activeCell="C22" sqref="C22"/>
    </sheetView>
  </sheetViews>
  <sheetFormatPr defaultRowHeight="14.25"/>
  <cols>
    <col min="1" max="1" width="31.625" bestFit="1" customWidth="1"/>
    <col min="2" max="2" width="22" bestFit="1" customWidth="1"/>
    <col min="3" max="3" width="13.25" bestFit="1" customWidth="1"/>
    <col min="4" max="4" width="28" customWidth="1"/>
    <col min="5" max="5" width="16" customWidth="1"/>
  </cols>
  <sheetData>
    <row r="1" spans="1:15" ht="27.95" customHeight="1">
      <c r="A1" s="29" t="s">
        <v>31</v>
      </c>
      <c r="B1" s="29"/>
      <c r="C1" s="29"/>
      <c r="D1" s="29"/>
      <c r="E1" s="29"/>
      <c r="F1" s="29"/>
      <c r="G1" s="29"/>
      <c r="H1" s="29"/>
      <c r="I1" s="24"/>
      <c r="J1" s="24"/>
      <c r="K1" s="24"/>
      <c r="L1" s="24"/>
      <c r="M1" s="24"/>
      <c r="N1" s="24"/>
      <c r="O1" s="24"/>
    </row>
    <row r="3" spans="1:15" ht="15.75">
      <c r="A3" s="1" t="s">
        <v>1</v>
      </c>
      <c r="B3" s="2" t="s">
        <v>2</v>
      </c>
      <c r="D3" s="1" t="s">
        <v>32</v>
      </c>
      <c r="E3" s="2" t="s">
        <v>2</v>
      </c>
    </row>
    <row r="4" spans="1:15" ht="15">
      <c r="A4" s="3" t="s">
        <v>33</v>
      </c>
      <c r="B4" s="32">
        <v>50000</v>
      </c>
      <c r="D4" s="3" t="s">
        <v>34</v>
      </c>
      <c r="E4" s="5">
        <f>B5*B6</f>
        <v>100000</v>
      </c>
    </row>
    <row r="5" spans="1:15" ht="15">
      <c r="A5" s="3" t="s">
        <v>11</v>
      </c>
      <c r="B5" s="32">
        <v>100</v>
      </c>
      <c r="D5" s="3" t="s">
        <v>12</v>
      </c>
      <c r="E5" s="5">
        <f>B6*(B5-B7)</f>
        <v>30000</v>
      </c>
    </row>
    <row r="6" spans="1:15" ht="15">
      <c r="A6" s="3" t="s">
        <v>35</v>
      </c>
      <c r="B6" s="35">
        <v>1000</v>
      </c>
      <c r="D6" s="3" t="s">
        <v>36</v>
      </c>
      <c r="E6" s="5">
        <f>B6*B8</f>
        <v>0</v>
      </c>
    </row>
    <row r="7" spans="1:15" ht="15">
      <c r="A7" s="3" t="s">
        <v>14</v>
      </c>
      <c r="B7" s="32">
        <v>70</v>
      </c>
      <c r="D7" s="3" t="s">
        <v>21</v>
      </c>
      <c r="E7" s="5">
        <f>E5-E6</f>
        <v>30000</v>
      </c>
    </row>
    <row r="8" spans="1:15" ht="15">
      <c r="A8" s="3" t="s">
        <v>37</v>
      </c>
      <c r="B8" s="32">
        <v>0</v>
      </c>
      <c r="D8" s="3" t="s">
        <v>23</v>
      </c>
      <c r="E8" s="5">
        <f>B4</f>
        <v>50000</v>
      </c>
    </row>
    <row r="9" spans="1:15" ht="15">
      <c r="A9" s="3" t="s">
        <v>38</v>
      </c>
      <c r="B9" s="34">
        <v>0.5</v>
      </c>
      <c r="D9" s="4" t="s">
        <v>25</v>
      </c>
      <c r="E9" s="20">
        <f>E7/E8</f>
        <v>0.6</v>
      </c>
    </row>
    <row r="10" spans="1:15" ht="15">
      <c r="A10" s="4" t="s">
        <v>24</v>
      </c>
      <c r="B10" s="36">
        <v>0.3</v>
      </c>
    </row>
    <row r="12" spans="1:15" ht="15.75">
      <c r="D12" s="1" t="s">
        <v>39</v>
      </c>
      <c r="E12" s="2" t="s">
        <v>2</v>
      </c>
    </row>
    <row r="13" spans="1:15" ht="15">
      <c r="D13" s="3" t="s">
        <v>26</v>
      </c>
      <c r="E13" s="9">
        <f>(B4+(B5*B6)-E6-(B6*B7))/(B6*B7)</f>
        <v>1.1428571428571428</v>
      </c>
    </row>
    <row r="14" spans="1:15" ht="15">
      <c r="D14" s="3" t="s">
        <v>27</v>
      </c>
      <c r="E14" s="10">
        <f>(B4+(B5*B6)-E6)/(B6*(1+B10))</f>
        <v>115.38461538461539</v>
      </c>
    </row>
    <row r="15" spans="1:15" ht="15">
      <c r="D15" s="4" t="s">
        <v>19</v>
      </c>
      <c r="E15" s="12" t="str">
        <f>IF(B7&gt;=E14,"MARGIN CALL / Above Threshold","Safe")</f>
        <v>Safe</v>
      </c>
    </row>
    <row r="18" spans="1:5" ht="15.75">
      <c r="A18" s="1" t="s">
        <v>14</v>
      </c>
      <c r="B18" s="13" t="s">
        <v>25</v>
      </c>
      <c r="C18" s="2" t="s">
        <v>30</v>
      </c>
    </row>
    <row r="19" spans="1:5">
      <c r="A19" s="14">
        <v>10</v>
      </c>
      <c r="B19" s="15">
        <f t="shared" ref="B19:B35" si="0">($B$6*($B$5-A19)-($B$6*$B$8))/$B$4</f>
        <v>1.8</v>
      </c>
      <c r="C19" s="16">
        <f t="shared" ref="C19:C35" si="1">($B$4+($B$5*$B$6)-($B$6*$B$8)-($B$6*A19))/($B$6*A19)</f>
        <v>14</v>
      </c>
    </row>
    <row r="20" spans="1:5">
      <c r="A20" s="14">
        <v>20</v>
      </c>
      <c r="B20" s="15">
        <f t="shared" si="0"/>
        <v>1.6</v>
      </c>
      <c r="C20" s="16">
        <f t="shared" si="1"/>
        <v>6.5</v>
      </c>
      <c r="E20">
        <f>80/70</f>
        <v>1.1428571428571428</v>
      </c>
    </row>
    <row r="21" spans="1:5">
      <c r="A21" s="14">
        <v>30</v>
      </c>
      <c r="B21" s="15">
        <f t="shared" si="0"/>
        <v>1.4</v>
      </c>
      <c r="C21" s="16">
        <f t="shared" si="1"/>
        <v>4</v>
      </c>
    </row>
    <row r="22" spans="1:5">
      <c r="A22" s="14">
        <v>40</v>
      </c>
      <c r="B22" s="15">
        <f t="shared" si="0"/>
        <v>1.2</v>
      </c>
      <c r="C22" s="16">
        <f t="shared" si="1"/>
        <v>2.75</v>
      </c>
    </row>
    <row r="23" spans="1:5">
      <c r="A23" s="14">
        <v>50</v>
      </c>
      <c r="B23" s="15">
        <f t="shared" si="0"/>
        <v>1</v>
      </c>
      <c r="C23" s="16">
        <f t="shared" si="1"/>
        <v>2</v>
      </c>
    </row>
    <row r="24" spans="1:5">
      <c r="A24" s="14">
        <v>60</v>
      </c>
      <c r="B24" s="15">
        <f t="shared" si="0"/>
        <v>0.8</v>
      </c>
      <c r="C24" s="16">
        <f t="shared" si="1"/>
        <v>1.5</v>
      </c>
    </row>
    <row r="25" spans="1:5">
      <c r="A25" s="14">
        <v>70</v>
      </c>
      <c r="B25" s="15">
        <f t="shared" si="0"/>
        <v>0.6</v>
      </c>
      <c r="C25" s="16">
        <f t="shared" si="1"/>
        <v>1.1428571428571428</v>
      </c>
    </row>
    <row r="26" spans="1:5">
      <c r="A26" s="14">
        <v>80</v>
      </c>
      <c r="B26" s="15">
        <f t="shared" si="0"/>
        <v>0.4</v>
      </c>
      <c r="C26" s="16">
        <f t="shared" si="1"/>
        <v>0.875</v>
      </c>
    </row>
    <row r="27" spans="1:5">
      <c r="A27" s="14">
        <v>90</v>
      </c>
      <c r="B27" s="15">
        <f t="shared" si="0"/>
        <v>0.2</v>
      </c>
      <c r="C27" s="16">
        <f t="shared" si="1"/>
        <v>0.66666666666666663</v>
      </c>
    </row>
    <row r="28" spans="1:5">
      <c r="A28" s="14">
        <v>100</v>
      </c>
      <c r="B28" s="15">
        <f t="shared" si="0"/>
        <v>0</v>
      </c>
      <c r="C28" s="16">
        <f t="shared" si="1"/>
        <v>0.5</v>
      </c>
    </row>
    <row r="29" spans="1:5">
      <c r="A29" s="14">
        <v>110</v>
      </c>
      <c r="B29" s="15">
        <f t="shared" si="0"/>
        <v>-0.2</v>
      </c>
      <c r="C29" s="16">
        <f t="shared" si="1"/>
        <v>0.36363636363636365</v>
      </c>
    </row>
    <row r="30" spans="1:5">
      <c r="A30" s="14">
        <v>120</v>
      </c>
      <c r="B30" s="15">
        <f t="shared" si="0"/>
        <v>-0.4</v>
      </c>
      <c r="C30" s="16">
        <f t="shared" si="1"/>
        <v>0.25</v>
      </c>
    </row>
    <row r="31" spans="1:5">
      <c r="A31" s="14">
        <v>130</v>
      </c>
      <c r="B31" s="15">
        <f t="shared" si="0"/>
        <v>-0.6</v>
      </c>
      <c r="C31" s="16">
        <f t="shared" si="1"/>
        <v>0.15384615384615385</v>
      </c>
    </row>
    <row r="32" spans="1:5">
      <c r="A32" s="14">
        <v>140</v>
      </c>
      <c r="B32" s="15">
        <f t="shared" si="0"/>
        <v>-0.8</v>
      </c>
      <c r="C32" s="16">
        <f t="shared" si="1"/>
        <v>7.1428571428571425E-2</v>
      </c>
    </row>
    <row r="33" spans="1:3">
      <c r="A33" s="14">
        <v>150</v>
      </c>
      <c r="B33" s="15">
        <f t="shared" si="0"/>
        <v>-1</v>
      </c>
      <c r="C33" s="16">
        <f t="shared" si="1"/>
        <v>0</v>
      </c>
    </row>
    <row r="34" spans="1:3">
      <c r="A34" s="14">
        <v>160</v>
      </c>
      <c r="B34" s="15">
        <f t="shared" si="0"/>
        <v>-1.2</v>
      </c>
      <c r="C34" s="16">
        <f t="shared" si="1"/>
        <v>-6.25E-2</v>
      </c>
    </row>
    <row r="35" spans="1:3">
      <c r="A35" s="17">
        <v>170</v>
      </c>
      <c r="B35" s="18">
        <f t="shared" si="0"/>
        <v>-1.4</v>
      </c>
      <c r="C35" s="19">
        <f t="shared" si="1"/>
        <v>-0.11764705882352941</v>
      </c>
    </row>
  </sheetData>
  <sheetProtection algorithmName="SHA-512" hashValue="Eqyb6ZYXiFtHlnRWXd5xX41Ygw/jF8hIOS4lXYRehlTb3FkXDOHensXshCqrlzUijFgERpIb0b+VqFbnyPoX+Q==" saltValue="NR15bq64B3zU1CJkBm6EoQ==" spinCount="100000" sheet="1" objects="1" scenarios="1"/>
  <mergeCells count="1">
    <mergeCell ref="A1:H1"/>
  </mergeCells>
  <conditionalFormatting sqref="E15">
    <cfRule type="expression" dxfId="0" priority="1">
      <formula>LEFT(E15,6)="MARGIN"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38"/>
  <sheetViews>
    <sheetView tabSelected="1" workbookViewId="0">
      <selection activeCell="D28" sqref="D28"/>
    </sheetView>
  </sheetViews>
  <sheetFormatPr defaultRowHeight="14.25"/>
  <cols>
    <col min="1" max="1" width="28" customWidth="1"/>
    <col min="2" max="2" width="16" customWidth="1"/>
    <col min="3" max="3" width="18.875" bestFit="1" customWidth="1"/>
    <col min="4" max="4" width="28" customWidth="1"/>
    <col min="5" max="5" width="19.125" bestFit="1" customWidth="1"/>
  </cols>
  <sheetData>
    <row r="1" spans="1:15" ht="27.95" customHeight="1">
      <c r="A1" s="29" t="s">
        <v>40</v>
      </c>
      <c r="B1" s="29"/>
      <c r="C1" s="29"/>
      <c r="D1" s="29"/>
      <c r="E1" s="29"/>
      <c r="F1" s="29"/>
      <c r="G1" s="29"/>
      <c r="H1" s="29"/>
      <c r="I1" s="29"/>
      <c r="J1" s="24"/>
      <c r="K1" s="24"/>
      <c r="L1" s="24"/>
      <c r="M1" s="24"/>
      <c r="N1" s="24"/>
      <c r="O1" s="24"/>
    </row>
    <row r="3" spans="1:15" ht="15.75">
      <c r="A3" s="1" t="s">
        <v>41</v>
      </c>
      <c r="B3" s="13" t="s">
        <v>42</v>
      </c>
      <c r="C3" s="13" t="s">
        <v>43</v>
      </c>
      <c r="D3" s="13" t="s">
        <v>44</v>
      </c>
      <c r="E3" s="2" t="s">
        <v>45</v>
      </c>
    </row>
    <row r="4" spans="1:15">
      <c r="A4" s="14">
        <v>10</v>
      </c>
      <c r="B4" s="15">
        <f>((('01_Long_Margin'!$E$5*A4)-'01_Long_Margin'!$E$4)+('01_Long_Margin'!$E$5*'01_Long_Margin'!$B$8)-'01_Long_Margin'!$E$8)/'01_Long_Margin'!$B$4</f>
        <v>-1.6559999999999999</v>
      </c>
      <c r="C4" s="15">
        <f>((('01_Long_Margin'!$E$5*A4)-'01_Long_Margin'!$B$5)/('01_Long_Margin'!$E$5*A4))</f>
        <v>-1.5</v>
      </c>
      <c r="D4" s="15">
        <f>('02_Short_Sale'!$B$6*('02_Short_Sale'!$B$5-A4)-('02_Short_Sale'!$B$6*'02_Short_Sale'!$B$8))/'02_Short_Sale'!$B$4</f>
        <v>1.8</v>
      </c>
      <c r="E4" s="16">
        <f>('02_Short_Sale'!$B$4+('02_Short_Sale'!$B$5*'02_Short_Sale'!$B$6)-('02_Short_Sale'!$B$6*'02_Short_Sale'!$B$8)-('02_Short_Sale'!$B$6*A4))/('02_Short_Sale'!$B$6*A4)</f>
        <v>14</v>
      </c>
    </row>
    <row r="5" spans="1:15">
      <c r="A5" s="14">
        <v>15</v>
      </c>
      <c r="B5" s="15">
        <f>((('01_Long_Margin'!$E$5*A5)-'01_Long_Margin'!$E$4)+('01_Long_Margin'!$E$5*'01_Long_Margin'!$B$8)-'01_Long_Margin'!$E$8)/'01_Long_Margin'!$B$4</f>
        <v>-1.456</v>
      </c>
      <c r="C5" s="15">
        <f>((('01_Long_Margin'!$E$5*A5)-'01_Long_Margin'!$B$5)/('01_Long_Margin'!$E$5*A5))</f>
        <v>-0.66666666666666663</v>
      </c>
      <c r="D5" s="15">
        <f>('02_Short_Sale'!$B$6*('02_Short_Sale'!$B$5-A5)-('02_Short_Sale'!$B$6*'02_Short_Sale'!$B$8))/'02_Short_Sale'!$B$4</f>
        <v>1.7</v>
      </c>
      <c r="E5" s="16">
        <f>('02_Short_Sale'!$B$4+('02_Short_Sale'!$B$5*'02_Short_Sale'!$B$6)-('02_Short_Sale'!$B$6*'02_Short_Sale'!$B$8)-('02_Short_Sale'!$B$6*A5))/('02_Short_Sale'!$B$6*A5)</f>
        <v>9</v>
      </c>
    </row>
    <row r="6" spans="1:15">
      <c r="A6" s="14">
        <v>20</v>
      </c>
      <c r="B6" s="15">
        <f>((('01_Long_Margin'!$E$5*A6)-'01_Long_Margin'!$E$4)+('01_Long_Margin'!$E$5*'01_Long_Margin'!$B$8)-'01_Long_Margin'!$E$8)/'01_Long_Margin'!$B$4</f>
        <v>-1.256</v>
      </c>
      <c r="C6" s="15">
        <f>((('01_Long_Margin'!$E$5*A6)-'01_Long_Margin'!$B$5)/('01_Long_Margin'!$E$5*A6))</f>
        <v>-0.25</v>
      </c>
      <c r="D6" s="15">
        <f>('02_Short_Sale'!$B$6*('02_Short_Sale'!$B$5-A6)-('02_Short_Sale'!$B$6*'02_Short_Sale'!$B$8))/'02_Short_Sale'!$B$4</f>
        <v>1.6</v>
      </c>
      <c r="E6" s="16">
        <f>('02_Short_Sale'!$B$4+('02_Short_Sale'!$B$5*'02_Short_Sale'!$B$6)-('02_Short_Sale'!$B$6*'02_Short_Sale'!$B$8)-('02_Short_Sale'!$B$6*A6))/('02_Short_Sale'!$B$6*A6)</f>
        <v>6.5</v>
      </c>
    </row>
    <row r="7" spans="1:15">
      <c r="A7" s="14">
        <v>25</v>
      </c>
      <c r="B7" s="15">
        <f>((('01_Long_Margin'!$E$5*A7)-'01_Long_Margin'!$E$4)+('01_Long_Margin'!$E$5*'01_Long_Margin'!$B$8)-'01_Long_Margin'!$E$8)/'01_Long_Margin'!$B$4</f>
        <v>-1.056</v>
      </c>
      <c r="C7" s="15">
        <f>((('01_Long_Margin'!$E$5*A7)-'01_Long_Margin'!$B$5)/('01_Long_Margin'!$E$5*A7))</f>
        <v>0</v>
      </c>
      <c r="D7" s="15">
        <f>('02_Short_Sale'!$B$6*('02_Short_Sale'!$B$5-A7)-('02_Short_Sale'!$B$6*'02_Short_Sale'!$B$8))/'02_Short_Sale'!$B$4</f>
        <v>1.5</v>
      </c>
      <c r="E7" s="16">
        <f>('02_Short_Sale'!$B$4+('02_Short_Sale'!$B$5*'02_Short_Sale'!$B$6)-('02_Short_Sale'!$B$6*'02_Short_Sale'!$B$8)-('02_Short_Sale'!$B$6*A7))/('02_Short_Sale'!$B$6*A7)</f>
        <v>5</v>
      </c>
    </row>
    <row r="8" spans="1:15">
      <c r="A8" s="14">
        <v>30</v>
      </c>
      <c r="B8" s="15">
        <f>((('01_Long_Margin'!$E$5*A8)-'01_Long_Margin'!$E$4)+('01_Long_Margin'!$E$5*'01_Long_Margin'!$B$8)-'01_Long_Margin'!$E$8)/'01_Long_Margin'!$B$4</f>
        <v>-0.85599999999999998</v>
      </c>
      <c r="C8" s="15">
        <f>((('01_Long_Margin'!$E$5*A8)-'01_Long_Margin'!$B$5)/('01_Long_Margin'!$E$5*A8))</f>
        <v>0.16666666666666666</v>
      </c>
      <c r="D8" s="15">
        <f>('02_Short_Sale'!$B$6*('02_Short_Sale'!$B$5-A8)-('02_Short_Sale'!$B$6*'02_Short_Sale'!$B$8))/'02_Short_Sale'!$B$4</f>
        <v>1.4</v>
      </c>
      <c r="E8" s="16">
        <f>('02_Short_Sale'!$B$4+('02_Short_Sale'!$B$5*'02_Short_Sale'!$B$6)-('02_Short_Sale'!$B$6*'02_Short_Sale'!$B$8)-('02_Short_Sale'!$B$6*A8))/('02_Short_Sale'!$B$6*A8)</f>
        <v>4</v>
      </c>
    </row>
    <row r="9" spans="1:15">
      <c r="A9" s="14">
        <v>35</v>
      </c>
      <c r="B9" s="15">
        <f>((('01_Long_Margin'!$E$5*A9)-'01_Long_Margin'!$E$4)+('01_Long_Margin'!$E$5*'01_Long_Margin'!$B$8)-'01_Long_Margin'!$E$8)/'01_Long_Margin'!$B$4</f>
        <v>-0.65600000000000003</v>
      </c>
      <c r="C9" s="15">
        <f>((('01_Long_Margin'!$E$5*A9)-'01_Long_Margin'!$B$5)/('01_Long_Margin'!$E$5*A9))</f>
        <v>0.2857142857142857</v>
      </c>
      <c r="D9" s="15">
        <f>('02_Short_Sale'!$B$6*('02_Short_Sale'!$B$5-A9)-('02_Short_Sale'!$B$6*'02_Short_Sale'!$B$8))/'02_Short_Sale'!$B$4</f>
        <v>1.3</v>
      </c>
      <c r="E9" s="16">
        <f>('02_Short_Sale'!$B$4+('02_Short_Sale'!$B$5*'02_Short_Sale'!$B$6)-('02_Short_Sale'!$B$6*'02_Short_Sale'!$B$8)-('02_Short_Sale'!$B$6*A9))/('02_Short_Sale'!$B$6*A9)</f>
        <v>3.2857142857142856</v>
      </c>
    </row>
    <row r="10" spans="1:15">
      <c r="A10" s="14">
        <v>40</v>
      </c>
      <c r="B10" s="15">
        <f>((('01_Long_Margin'!$E$5*A10)-'01_Long_Margin'!$E$4)+('01_Long_Margin'!$E$5*'01_Long_Margin'!$B$8)-'01_Long_Margin'!$E$8)/'01_Long_Margin'!$B$4</f>
        <v>-0.45600000000000002</v>
      </c>
      <c r="C10" s="15">
        <f>((('01_Long_Margin'!$E$5*A10)-'01_Long_Margin'!$B$5)/('01_Long_Margin'!$E$5*A10))</f>
        <v>0.375</v>
      </c>
      <c r="D10" s="15">
        <f>('02_Short_Sale'!$B$6*('02_Short_Sale'!$B$5-A10)-('02_Short_Sale'!$B$6*'02_Short_Sale'!$B$8))/'02_Short_Sale'!$B$4</f>
        <v>1.2</v>
      </c>
      <c r="E10" s="16">
        <f>('02_Short_Sale'!$B$4+('02_Short_Sale'!$B$5*'02_Short_Sale'!$B$6)-('02_Short_Sale'!$B$6*'02_Short_Sale'!$B$8)-('02_Short_Sale'!$B$6*A10))/('02_Short_Sale'!$B$6*A10)</f>
        <v>2.75</v>
      </c>
    </row>
    <row r="11" spans="1:15">
      <c r="A11" s="14">
        <v>45</v>
      </c>
      <c r="B11" s="15">
        <f>((('01_Long_Margin'!$E$5*A11)-'01_Long_Margin'!$E$4)+('01_Long_Margin'!$E$5*'01_Long_Margin'!$B$8)-'01_Long_Margin'!$E$8)/'01_Long_Margin'!$B$4</f>
        <v>-0.25600000000000001</v>
      </c>
      <c r="C11" s="15">
        <f>((('01_Long_Margin'!$E$5*A11)-'01_Long_Margin'!$B$5)/('01_Long_Margin'!$E$5*A11))</f>
        <v>0.44444444444444442</v>
      </c>
      <c r="D11" s="15">
        <f>('02_Short_Sale'!$B$6*('02_Short_Sale'!$B$5-A11)-('02_Short_Sale'!$B$6*'02_Short_Sale'!$B$8))/'02_Short_Sale'!$B$4</f>
        <v>1.1000000000000001</v>
      </c>
      <c r="E11" s="16">
        <f>('02_Short_Sale'!$B$4+('02_Short_Sale'!$B$5*'02_Short_Sale'!$B$6)-('02_Short_Sale'!$B$6*'02_Short_Sale'!$B$8)-('02_Short_Sale'!$B$6*A11))/('02_Short_Sale'!$B$6*A11)</f>
        <v>2.3333333333333335</v>
      </c>
    </row>
    <row r="12" spans="1:15">
      <c r="A12" s="14">
        <v>50</v>
      </c>
      <c r="B12" s="15">
        <f>((('01_Long_Margin'!$E$5*A12)-'01_Long_Margin'!$E$4)+('01_Long_Margin'!$E$5*'01_Long_Margin'!$B$8)-'01_Long_Margin'!$E$8)/'01_Long_Margin'!$B$4</f>
        <v>-5.6000000000000001E-2</v>
      </c>
      <c r="C12" s="15">
        <f>((('01_Long_Margin'!$E$5*A12)-'01_Long_Margin'!$B$5)/('01_Long_Margin'!$E$5*A12))</f>
        <v>0.5</v>
      </c>
      <c r="D12" s="15">
        <f>('02_Short_Sale'!$B$6*('02_Short_Sale'!$B$5-A12)-('02_Short_Sale'!$B$6*'02_Short_Sale'!$B$8))/'02_Short_Sale'!$B$4</f>
        <v>1</v>
      </c>
      <c r="E12" s="16">
        <f>('02_Short_Sale'!$B$4+('02_Short_Sale'!$B$5*'02_Short_Sale'!$B$6)-('02_Short_Sale'!$B$6*'02_Short_Sale'!$B$8)-('02_Short_Sale'!$B$6*A12))/('02_Short_Sale'!$B$6*A12)</f>
        <v>2</v>
      </c>
    </row>
    <row r="13" spans="1:15">
      <c r="A13" s="14">
        <v>55</v>
      </c>
      <c r="B13" s="15">
        <f>((('01_Long_Margin'!$E$5*A13)-'01_Long_Margin'!$E$4)+('01_Long_Margin'!$E$5*'01_Long_Margin'!$B$8)-'01_Long_Margin'!$E$8)/'01_Long_Margin'!$B$4</f>
        <v>0.14399999999999999</v>
      </c>
      <c r="C13" s="15">
        <f>((('01_Long_Margin'!$E$5*A13)-'01_Long_Margin'!$B$5)/('01_Long_Margin'!$E$5*A13))</f>
        <v>0.54545454545454541</v>
      </c>
      <c r="D13" s="15">
        <f>('02_Short_Sale'!$B$6*('02_Short_Sale'!$B$5-A13)-('02_Short_Sale'!$B$6*'02_Short_Sale'!$B$8))/'02_Short_Sale'!$B$4</f>
        <v>0.9</v>
      </c>
      <c r="E13" s="16">
        <f>('02_Short_Sale'!$B$4+('02_Short_Sale'!$B$5*'02_Short_Sale'!$B$6)-('02_Short_Sale'!$B$6*'02_Short_Sale'!$B$8)-('02_Short_Sale'!$B$6*A13))/('02_Short_Sale'!$B$6*A13)</f>
        <v>1.7272727272727273</v>
      </c>
    </row>
    <row r="14" spans="1:15">
      <c r="A14" s="14">
        <v>60</v>
      </c>
      <c r="B14" s="15">
        <f>((('01_Long_Margin'!$E$5*A14)-'01_Long_Margin'!$E$4)+('01_Long_Margin'!$E$5*'01_Long_Margin'!$B$8)-'01_Long_Margin'!$E$8)/'01_Long_Margin'!$B$4</f>
        <v>0.34399999999999997</v>
      </c>
      <c r="C14" s="15">
        <f>((('01_Long_Margin'!$E$5*A14)-'01_Long_Margin'!$B$5)/('01_Long_Margin'!$E$5*A14))</f>
        <v>0.58333333333333337</v>
      </c>
      <c r="D14" s="15">
        <f>('02_Short_Sale'!$B$6*('02_Short_Sale'!$B$5-A14)-('02_Short_Sale'!$B$6*'02_Short_Sale'!$B$8))/'02_Short_Sale'!$B$4</f>
        <v>0.8</v>
      </c>
      <c r="E14" s="16">
        <f>('02_Short_Sale'!$B$4+('02_Short_Sale'!$B$5*'02_Short_Sale'!$B$6)-('02_Short_Sale'!$B$6*'02_Short_Sale'!$B$8)-('02_Short_Sale'!$B$6*A14))/('02_Short_Sale'!$B$6*A14)</f>
        <v>1.5</v>
      </c>
    </row>
    <row r="15" spans="1:15">
      <c r="A15" s="14">
        <v>65</v>
      </c>
      <c r="B15" s="15">
        <f>((('01_Long_Margin'!$E$5*A15)-'01_Long_Margin'!$E$4)+('01_Long_Margin'!$E$5*'01_Long_Margin'!$B$8)-'01_Long_Margin'!$E$8)/'01_Long_Margin'!$B$4</f>
        <v>0.54400000000000004</v>
      </c>
      <c r="C15" s="15">
        <f>((('01_Long_Margin'!$E$5*A15)-'01_Long_Margin'!$B$5)/('01_Long_Margin'!$E$5*A15))</f>
        <v>0.61538461538461542</v>
      </c>
      <c r="D15" s="15">
        <f>('02_Short_Sale'!$B$6*('02_Short_Sale'!$B$5-A15)-('02_Short_Sale'!$B$6*'02_Short_Sale'!$B$8))/'02_Short_Sale'!$B$4</f>
        <v>0.7</v>
      </c>
      <c r="E15" s="16">
        <f>('02_Short_Sale'!$B$4+('02_Short_Sale'!$B$5*'02_Short_Sale'!$B$6)-('02_Short_Sale'!$B$6*'02_Short_Sale'!$B$8)-('02_Short_Sale'!$B$6*A15))/('02_Short_Sale'!$B$6*A15)</f>
        <v>1.3076923076923077</v>
      </c>
    </row>
    <row r="16" spans="1:15">
      <c r="A16" s="14">
        <v>70</v>
      </c>
      <c r="B16" s="15">
        <f>((('01_Long_Margin'!$E$5*A16)-'01_Long_Margin'!$E$4)+('01_Long_Margin'!$E$5*'01_Long_Margin'!$B$8)-'01_Long_Margin'!$E$8)/'01_Long_Margin'!$B$4</f>
        <v>0.74399999999999999</v>
      </c>
      <c r="C16" s="15">
        <f>((('01_Long_Margin'!$E$5*A16)-'01_Long_Margin'!$B$5)/('01_Long_Margin'!$E$5*A16))</f>
        <v>0.6428571428571429</v>
      </c>
      <c r="D16" s="15">
        <f>('02_Short_Sale'!$B$6*('02_Short_Sale'!$B$5-A16)-('02_Short_Sale'!$B$6*'02_Short_Sale'!$B$8))/'02_Short_Sale'!$B$4</f>
        <v>0.6</v>
      </c>
      <c r="E16" s="16">
        <f>('02_Short_Sale'!$B$4+('02_Short_Sale'!$B$5*'02_Short_Sale'!$B$6)-('02_Short_Sale'!$B$6*'02_Short_Sale'!$B$8)-('02_Short_Sale'!$B$6*A16))/('02_Short_Sale'!$B$6*A16)</f>
        <v>1.1428571428571428</v>
      </c>
    </row>
    <row r="17" spans="1:5">
      <c r="A17" s="14">
        <v>75</v>
      </c>
      <c r="B17" s="15">
        <f>((('01_Long_Margin'!$E$5*A17)-'01_Long_Margin'!$E$4)+('01_Long_Margin'!$E$5*'01_Long_Margin'!$B$8)-'01_Long_Margin'!$E$8)/'01_Long_Margin'!$B$4</f>
        <v>0.94399999999999995</v>
      </c>
      <c r="C17" s="15">
        <f>((('01_Long_Margin'!$E$5*A17)-'01_Long_Margin'!$B$5)/('01_Long_Margin'!$E$5*A17))</f>
        <v>0.66666666666666663</v>
      </c>
      <c r="D17" s="15">
        <f>('02_Short_Sale'!$B$6*('02_Short_Sale'!$B$5-A17)-('02_Short_Sale'!$B$6*'02_Short_Sale'!$B$8))/'02_Short_Sale'!$B$4</f>
        <v>0.5</v>
      </c>
      <c r="E17" s="16">
        <f>('02_Short_Sale'!$B$4+('02_Short_Sale'!$B$5*'02_Short_Sale'!$B$6)-('02_Short_Sale'!$B$6*'02_Short_Sale'!$B$8)-('02_Short_Sale'!$B$6*A17))/('02_Short_Sale'!$B$6*A17)</f>
        <v>1</v>
      </c>
    </row>
    <row r="18" spans="1:5">
      <c r="A18" s="14">
        <v>80</v>
      </c>
      <c r="B18" s="15">
        <f>((('01_Long_Margin'!$E$5*A18)-'01_Long_Margin'!$E$4)+('01_Long_Margin'!$E$5*'01_Long_Margin'!$B$8)-'01_Long_Margin'!$E$8)/'01_Long_Margin'!$B$4</f>
        <v>1.1439999999999999</v>
      </c>
      <c r="C18" s="15">
        <f>((('01_Long_Margin'!$E$5*A18)-'01_Long_Margin'!$B$5)/('01_Long_Margin'!$E$5*A18))</f>
        <v>0.6875</v>
      </c>
      <c r="D18" s="15">
        <f>('02_Short_Sale'!$B$6*('02_Short_Sale'!$B$5-A18)-('02_Short_Sale'!$B$6*'02_Short_Sale'!$B$8))/'02_Short_Sale'!$B$4</f>
        <v>0.4</v>
      </c>
      <c r="E18" s="16">
        <f>('02_Short_Sale'!$B$4+('02_Short_Sale'!$B$5*'02_Short_Sale'!$B$6)-('02_Short_Sale'!$B$6*'02_Short_Sale'!$B$8)-('02_Short_Sale'!$B$6*A18))/('02_Short_Sale'!$B$6*A18)</f>
        <v>0.875</v>
      </c>
    </row>
    <row r="19" spans="1:5">
      <c r="A19" s="14">
        <v>85</v>
      </c>
      <c r="B19" s="15">
        <f>((('01_Long_Margin'!$E$5*A19)-'01_Long_Margin'!$E$4)+('01_Long_Margin'!$E$5*'01_Long_Margin'!$B$8)-'01_Long_Margin'!$E$8)/'01_Long_Margin'!$B$4</f>
        <v>1.3440000000000001</v>
      </c>
      <c r="C19" s="15">
        <f>((('01_Long_Margin'!$E$5*A19)-'01_Long_Margin'!$B$5)/('01_Long_Margin'!$E$5*A19))</f>
        <v>0.70588235294117652</v>
      </c>
      <c r="D19" s="15">
        <f>('02_Short_Sale'!$B$6*('02_Short_Sale'!$B$5-A19)-('02_Short_Sale'!$B$6*'02_Short_Sale'!$B$8))/'02_Short_Sale'!$B$4</f>
        <v>0.3</v>
      </c>
      <c r="E19" s="16">
        <f>('02_Short_Sale'!$B$4+('02_Short_Sale'!$B$5*'02_Short_Sale'!$B$6)-('02_Short_Sale'!$B$6*'02_Short_Sale'!$B$8)-('02_Short_Sale'!$B$6*A19))/('02_Short_Sale'!$B$6*A19)</f>
        <v>0.76470588235294112</v>
      </c>
    </row>
    <row r="20" spans="1:5">
      <c r="A20" s="14">
        <v>90</v>
      </c>
      <c r="B20" s="15">
        <f>((('01_Long_Margin'!$E$5*A20)-'01_Long_Margin'!$E$4)+('01_Long_Margin'!$E$5*'01_Long_Margin'!$B$8)-'01_Long_Margin'!$E$8)/'01_Long_Margin'!$B$4</f>
        <v>1.544</v>
      </c>
      <c r="C20" s="15">
        <f>((('01_Long_Margin'!$E$5*A20)-'01_Long_Margin'!$B$5)/('01_Long_Margin'!$E$5*A20))</f>
        <v>0.72222222222222221</v>
      </c>
      <c r="D20" s="15">
        <f>('02_Short_Sale'!$B$6*('02_Short_Sale'!$B$5-A20)-('02_Short_Sale'!$B$6*'02_Short_Sale'!$B$8))/'02_Short_Sale'!$B$4</f>
        <v>0.2</v>
      </c>
      <c r="E20" s="16">
        <f>('02_Short_Sale'!$B$4+('02_Short_Sale'!$B$5*'02_Short_Sale'!$B$6)-('02_Short_Sale'!$B$6*'02_Short_Sale'!$B$8)-('02_Short_Sale'!$B$6*A20))/('02_Short_Sale'!$B$6*A20)</f>
        <v>0.66666666666666663</v>
      </c>
    </row>
    <row r="21" spans="1:5">
      <c r="A21" s="14">
        <v>95</v>
      </c>
      <c r="B21" s="15">
        <f>((('01_Long_Margin'!$E$5*A21)-'01_Long_Margin'!$E$4)+('01_Long_Margin'!$E$5*'01_Long_Margin'!$B$8)-'01_Long_Margin'!$E$8)/'01_Long_Margin'!$B$4</f>
        <v>1.744</v>
      </c>
      <c r="C21" s="15">
        <f>((('01_Long_Margin'!$E$5*A21)-'01_Long_Margin'!$B$5)/('01_Long_Margin'!$E$5*A21))</f>
        <v>0.73684210526315785</v>
      </c>
      <c r="D21" s="15">
        <f>('02_Short_Sale'!$B$6*('02_Short_Sale'!$B$5-A21)-('02_Short_Sale'!$B$6*'02_Short_Sale'!$B$8))/'02_Short_Sale'!$B$4</f>
        <v>0.1</v>
      </c>
      <c r="E21" s="16">
        <f>('02_Short_Sale'!$B$4+('02_Short_Sale'!$B$5*'02_Short_Sale'!$B$6)-('02_Short_Sale'!$B$6*'02_Short_Sale'!$B$8)-('02_Short_Sale'!$B$6*A21))/('02_Short_Sale'!$B$6*A21)</f>
        <v>0.57894736842105265</v>
      </c>
    </row>
    <row r="22" spans="1:5">
      <c r="A22" s="14">
        <v>100</v>
      </c>
      <c r="B22" s="15">
        <f>((('01_Long_Margin'!$E$5*A22)-'01_Long_Margin'!$E$4)+('01_Long_Margin'!$E$5*'01_Long_Margin'!$B$8)-'01_Long_Margin'!$E$8)/'01_Long_Margin'!$B$4</f>
        <v>1.944</v>
      </c>
      <c r="C22" s="15">
        <f>((('01_Long_Margin'!$E$5*A22)-'01_Long_Margin'!$B$5)/('01_Long_Margin'!$E$5*A22))</f>
        <v>0.75</v>
      </c>
      <c r="D22" s="15">
        <f>('02_Short_Sale'!$B$6*('02_Short_Sale'!$B$5-A22)-('02_Short_Sale'!$B$6*'02_Short_Sale'!$B$8))/'02_Short_Sale'!$B$4</f>
        <v>0</v>
      </c>
      <c r="E22" s="16">
        <f>('02_Short_Sale'!$B$4+('02_Short_Sale'!$B$5*'02_Short_Sale'!$B$6)-('02_Short_Sale'!$B$6*'02_Short_Sale'!$B$8)-('02_Short_Sale'!$B$6*A22))/('02_Short_Sale'!$B$6*A22)</f>
        <v>0.5</v>
      </c>
    </row>
    <row r="23" spans="1:5">
      <c r="A23" s="14">
        <v>105</v>
      </c>
      <c r="B23" s="15">
        <f>((('01_Long_Margin'!$E$5*A23)-'01_Long_Margin'!$E$4)+('01_Long_Margin'!$E$5*'01_Long_Margin'!$B$8)-'01_Long_Margin'!$E$8)/'01_Long_Margin'!$B$4</f>
        <v>2.1440000000000001</v>
      </c>
      <c r="C23" s="15">
        <f>((('01_Long_Margin'!$E$5*A23)-'01_Long_Margin'!$B$5)/('01_Long_Margin'!$E$5*A23))</f>
        <v>0.76190476190476186</v>
      </c>
      <c r="D23" s="15">
        <f>('02_Short_Sale'!$B$6*('02_Short_Sale'!$B$5-A23)-('02_Short_Sale'!$B$6*'02_Short_Sale'!$B$8))/'02_Short_Sale'!$B$4</f>
        <v>-0.1</v>
      </c>
      <c r="E23" s="16">
        <f>('02_Short_Sale'!$B$4+('02_Short_Sale'!$B$5*'02_Short_Sale'!$B$6)-('02_Short_Sale'!$B$6*'02_Short_Sale'!$B$8)-('02_Short_Sale'!$B$6*A23))/('02_Short_Sale'!$B$6*A23)</f>
        <v>0.42857142857142855</v>
      </c>
    </row>
    <row r="24" spans="1:5">
      <c r="A24" s="14">
        <v>110</v>
      </c>
      <c r="B24" s="15">
        <f>((('01_Long_Margin'!$E$5*A24)-'01_Long_Margin'!$E$4)+('01_Long_Margin'!$E$5*'01_Long_Margin'!$B$8)-'01_Long_Margin'!$E$8)/'01_Long_Margin'!$B$4</f>
        <v>2.3439999999999999</v>
      </c>
      <c r="C24" s="15">
        <f>((('01_Long_Margin'!$E$5*A24)-'01_Long_Margin'!$B$5)/('01_Long_Margin'!$E$5*A24))</f>
        <v>0.77272727272727271</v>
      </c>
      <c r="D24" s="15">
        <f>('02_Short_Sale'!$B$6*('02_Short_Sale'!$B$5-A24)-('02_Short_Sale'!$B$6*'02_Short_Sale'!$B$8))/'02_Short_Sale'!$B$4</f>
        <v>-0.2</v>
      </c>
      <c r="E24" s="16">
        <f>('02_Short_Sale'!$B$4+('02_Short_Sale'!$B$5*'02_Short_Sale'!$B$6)-('02_Short_Sale'!$B$6*'02_Short_Sale'!$B$8)-('02_Short_Sale'!$B$6*A24))/('02_Short_Sale'!$B$6*A24)</f>
        <v>0.36363636363636365</v>
      </c>
    </row>
    <row r="25" spans="1:5">
      <c r="A25" s="14">
        <v>115</v>
      </c>
      <c r="B25" s="15">
        <f>((('01_Long_Margin'!$E$5*A25)-'01_Long_Margin'!$E$4)+('01_Long_Margin'!$E$5*'01_Long_Margin'!$B$8)-'01_Long_Margin'!$E$8)/'01_Long_Margin'!$B$4</f>
        <v>2.544</v>
      </c>
      <c r="C25" s="15">
        <f>((('01_Long_Margin'!$E$5*A25)-'01_Long_Margin'!$B$5)/('01_Long_Margin'!$E$5*A25))</f>
        <v>0.78260869565217395</v>
      </c>
      <c r="D25" s="15">
        <f>('02_Short_Sale'!$B$6*('02_Short_Sale'!$B$5-A25)-('02_Short_Sale'!$B$6*'02_Short_Sale'!$B$8))/'02_Short_Sale'!$B$4</f>
        <v>-0.3</v>
      </c>
      <c r="E25" s="16">
        <f>('02_Short_Sale'!$B$4+('02_Short_Sale'!$B$5*'02_Short_Sale'!$B$6)-('02_Short_Sale'!$B$6*'02_Short_Sale'!$B$8)-('02_Short_Sale'!$B$6*A25))/('02_Short_Sale'!$B$6*A25)</f>
        <v>0.30434782608695654</v>
      </c>
    </row>
    <row r="26" spans="1:5">
      <c r="A26" s="14">
        <v>120</v>
      </c>
      <c r="B26" s="15">
        <f>((('01_Long_Margin'!$E$5*A26)-'01_Long_Margin'!$E$4)+('01_Long_Margin'!$E$5*'01_Long_Margin'!$B$8)-'01_Long_Margin'!$E$8)/'01_Long_Margin'!$B$4</f>
        <v>2.7440000000000002</v>
      </c>
      <c r="C26" s="15">
        <f>((('01_Long_Margin'!$E$5*A26)-'01_Long_Margin'!$B$5)/('01_Long_Margin'!$E$5*A26))</f>
        <v>0.79166666666666663</v>
      </c>
      <c r="D26" s="15">
        <f>('02_Short_Sale'!$B$6*('02_Short_Sale'!$B$5-A26)-('02_Short_Sale'!$B$6*'02_Short_Sale'!$B$8))/'02_Short_Sale'!$B$4</f>
        <v>-0.4</v>
      </c>
      <c r="E26" s="16">
        <f>('02_Short_Sale'!$B$4+('02_Short_Sale'!$B$5*'02_Short_Sale'!$B$6)-('02_Short_Sale'!$B$6*'02_Short_Sale'!$B$8)-('02_Short_Sale'!$B$6*A26))/('02_Short_Sale'!$B$6*A26)</f>
        <v>0.25</v>
      </c>
    </row>
    <row r="27" spans="1:5">
      <c r="A27" s="14">
        <v>125</v>
      </c>
      <c r="B27" s="15">
        <f>((('01_Long_Margin'!$E$5*A27)-'01_Long_Margin'!$E$4)+('01_Long_Margin'!$E$5*'01_Long_Margin'!$B$8)-'01_Long_Margin'!$E$8)/'01_Long_Margin'!$B$4</f>
        <v>2.944</v>
      </c>
      <c r="C27" s="15">
        <f>((('01_Long_Margin'!$E$5*A27)-'01_Long_Margin'!$B$5)/('01_Long_Margin'!$E$5*A27))</f>
        <v>0.8</v>
      </c>
      <c r="D27" s="15">
        <f>('02_Short_Sale'!$B$6*('02_Short_Sale'!$B$5-A27)-('02_Short_Sale'!$B$6*'02_Short_Sale'!$B$8))/'02_Short_Sale'!$B$4</f>
        <v>-0.5</v>
      </c>
      <c r="E27" s="16">
        <f>('02_Short_Sale'!$B$4+('02_Short_Sale'!$B$5*'02_Short_Sale'!$B$6)-('02_Short_Sale'!$B$6*'02_Short_Sale'!$B$8)-('02_Short_Sale'!$B$6*A27))/('02_Short_Sale'!$B$6*A27)</f>
        <v>0.2</v>
      </c>
    </row>
    <row r="28" spans="1:5">
      <c r="A28" s="14">
        <v>130</v>
      </c>
      <c r="B28" s="15">
        <f>((('01_Long_Margin'!$E$5*A28)-'01_Long_Margin'!$E$4)+('01_Long_Margin'!$E$5*'01_Long_Margin'!$B$8)-'01_Long_Margin'!$E$8)/'01_Long_Margin'!$B$4</f>
        <v>3.1440000000000001</v>
      </c>
      <c r="C28" s="15">
        <f>((('01_Long_Margin'!$E$5*A28)-'01_Long_Margin'!$B$5)/('01_Long_Margin'!$E$5*A28))</f>
        <v>0.80769230769230771</v>
      </c>
      <c r="D28" s="15">
        <f>('02_Short_Sale'!$B$6*('02_Short_Sale'!$B$5-A28)-('02_Short_Sale'!$B$6*'02_Short_Sale'!$B$8))/'02_Short_Sale'!$B$4</f>
        <v>-0.6</v>
      </c>
      <c r="E28" s="16">
        <f>('02_Short_Sale'!$B$4+('02_Short_Sale'!$B$5*'02_Short_Sale'!$B$6)-('02_Short_Sale'!$B$6*'02_Short_Sale'!$B$8)-('02_Short_Sale'!$B$6*A28))/('02_Short_Sale'!$B$6*A28)</f>
        <v>0.15384615384615385</v>
      </c>
    </row>
    <row r="29" spans="1:5">
      <c r="A29" s="14">
        <v>135</v>
      </c>
      <c r="B29" s="15">
        <f>((('01_Long_Margin'!$E$5*A29)-'01_Long_Margin'!$E$4)+('01_Long_Margin'!$E$5*'01_Long_Margin'!$B$8)-'01_Long_Margin'!$E$8)/'01_Long_Margin'!$B$4</f>
        <v>3.3439999999999999</v>
      </c>
      <c r="C29" s="15">
        <f>((('01_Long_Margin'!$E$5*A29)-'01_Long_Margin'!$B$5)/('01_Long_Margin'!$E$5*A29))</f>
        <v>0.81481481481481477</v>
      </c>
      <c r="D29" s="15">
        <f>('02_Short_Sale'!$B$6*('02_Short_Sale'!$B$5-A29)-('02_Short_Sale'!$B$6*'02_Short_Sale'!$B$8))/'02_Short_Sale'!$B$4</f>
        <v>-0.7</v>
      </c>
      <c r="E29" s="16">
        <f>('02_Short_Sale'!$B$4+('02_Short_Sale'!$B$5*'02_Short_Sale'!$B$6)-('02_Short_Sale'!$B$6*'02_Short_Sale'!$B$8)-('02_Short_Sale'!$B$6*A29))/('02_Short_Sale'!$B$6*A29)</f>
        <v>0.1111111111111111</v>
      </c>
    </row>
    <row r="30" spans="1:5">
      <c r="A30" s="14">
        <v>140</v>
      </c>
      <c r="B30" s="15">
        <f>((('01_Long_Margin'!$E$5*A30)-'01_Long_Margin'!$E$4)+('01_Long_Margin'!$E$5*'01_Long_Margin'!$B$8)-'01_Long_Margin'!$E$8)/'01_Long_Margin'!$B$4</f>
        <v>3.544</v>
      </c>
      <c r="C30" s="15">
        <f>((('01_Long_Margin'!$E$5*A30)-'01_Long_Margin'!$B$5)/('01_Long_Margin'!$E$5*A30))</f>
        <v>0.8214285714285714</v>
      </c>
      <c r="D30" s="15">
        <f>('02_Short_Sale'!$B$6*('02_Short_Sale'!$B$5-A30)-('02_Short_Sale'!$B$6*'02_Short_Sale'!$B$8))/'02_Short_Sale'!$B$4</f>
        <v>-0.8</v>
      </c>
      <c r="E30" s="16">
        <f>('02_Short_Sale'!$B$4+('02_Short_Sale'!$B$5*'02_Short_Sale'!$B$6)-('02_Short_Sale'!$B$6*'02_Short_Sale'!$B$8)-('02_Short_Sale'!$B$6*A30))/('02_Short_Sale'!$B$6*A30)</f>
        <v>7.1428571428571425E-2</v>
      </c>
    </row>
    <row r="31" spans="1:5">
      <c r="A31" s="14">
        <v>145</v>
      </c>
      <c r="B31" s="15">
        <f>((('01_Long_Margin'!$E$5*A31)-'01_Long_Margin'!$E$4)+('01_Long_Margin'!$E$5*'01_Long_Margin'!$B$8)-'01_Long_Margin'!$E$8)/'01_Long_Margin'!$B$4</f>
        <v>3.7440000000000002</v>
      </c>
      <c r="C31" s="15">
        <f>((('01_Long_Margin'!$E$5*A31)-'01_Long_Margin'!$B$5)/('01_Long_Margin'!$E$5*A31))</f>
        <v>0.82758620689655171</v>
      </c>
      <c r="D31" s="15">
        <f>('02_Short_Sale'!$B$6*('02_Short_Sale'!$B$5-A31)-('02_Short_Sale'!$B$6*'02_Short_Sale'!$B$8))/'02_Short_Sale'!$B$4</f>
        <v>-0.9</v>
      </c>
      <c r="E31" s="16">
        <f>('02_Short_Sale'!$B$4+('02_Short_Sale'!$B$5*'02_Short_Sale'!$B$6)-('02_Short_Sale'!$B$6*'02_Short_Sale'!$B$8)-('02_Short_Sale'!$B$6*A31))/('02_Short_Sale'!$B$6*A31)</f>
        <v>3.4482758620689655E-2</v>
      </c>
    </row>
    <row r="32" spans="1:5">
      <c r="A32" s="14">
        <v>150</v>
      </c>
      <c r="B32" s="15">
        <f>((('01_Long_Margin'!$E$5*A32)-'01_Long_Margin'!$E$4)+('01_Long_Margin'!$E$5*'01_Long_Margin'!$B$8)-'01_Long_Margin'!$E$8)/'01_Long_Margin'!$B$4</f>
        <v>3.944</v>
      </c>
      <c r="C32" s="15">
        <f>((('01_Long_Margin'!$E$5*A32)-'01_Long_Margin'!$B$5)/('01_Long_Margin'!$E$5*A32))</f>
        <v>0.83333333333333337</v>
      </c>
      <c r="D32" s="15">
        <f>('02_Short_Sale'!$B$6*('02_Short_Sale'!$B$5-A32)-('02_Short_Sale'!$B$6*'02_Short_Sale'!$B$8))/'02_Short_Sale'!$B$4</f>
        <v>-1</v>
      </c>
      <c r="E32" s="16">
        <f>('02_Short_Sale'!$B$4+('02_Short_Sale'!$B$5*'02_Short_Sale'!$B$6)-('02_Short_Sale'!$B$6*'02_Short_Sale'!$B$8)-('02_Short_Sale'!$B$6*A32))/('02_Short_Sale'!$B$6*A32)</f>
        <v>0</v>
      </c>
    </row>
    <row r="33" spans="1:5">
      <c r="A33" s="14">
        <v>155</v>
      </c>
      <c r="B33" s="15">
        <f>((('01_Long_Margin'!$E$5*A33)-'01_Long_Margin'!$E$4)+('01_Long_Margin'!$E$5*'01_Long_Margin'!$B$8)-'01_Long_Margin'!$E$8)/'01_Long_Margin'!$B$4</f>
        <v>4.1440000000000001</v>
      </c>
      <c r="C33" s="15">
        <f>((('01_Long_Margin'!$E$5*A33)-'01_Long_Margin'!$B$5)/('01_Long_Margin'!$E$5*A33))</f>
        <v>0.83870967741935487</v>
      </c>
      <c r="D33" s="15">
        <f>('02_Short_Sale'!$B$6*('02_Short_Sale'!$B$5-A33)-('02_Short_Sale'!$B$6*'02_Short_Sale'!$B$8))/'02_Short_Sale'!$B$4</f>
        <v>-1.1000000000000001</v>
      </c>
      <c r="E33" s="16">
        <f>('02_Short_Sale'!$B$4+('02_Short_Sale'!$B$5*'02_Short_Sale'!$B$6)-('02_Short_Sale'!$B$6*'02_Short_Sale'!$B$8)-('02_Short_Sale'!$B$6*A33))/('02_Short_Sale'!$B$6*A33)</f>
        <v>-3.2258064516129031E-2</v>
      </c>
    </row>
    <row r="34" spans="1:5">
      <c r="A34" s="14">
        <v>160</v>
      </c>
      <c r="B34" s="15">
        <f>((('01_Long_Margin'!$E$5*A34)-'01_Long_Margin'!$E$4)+('01_Long_Margin'!$E$5*'01_Long_Margin'!$B$8)-'01_Long_Margin'!$E$8)/'01_Long_Margin'!$B$4</f>
        <v>4.3440000000000003</v>
      </c>
      <c r="C34" s="15">
        <f>((('01_Long_Margin'!$E$5*A34)-'01_Long_Margin'!$B$5)/('01_Long_Margin'!$E$5*A34))</f>
        <v>0.84375</v>
      </c>
      <c r="D34" s="15">
        <f>('02_Short_Sale'!$B$6*('02_Short_Sale'!$B$5-A34)-('02_Short_Sale'!$B$6*'02_Short_Sale'!$B$8))/'02_Short_Sale'!$B$4</f>
        <v>-1.2</v>
      </c>
      <c r="E34" s="16">
        <f>('02_Short_Sale'!$B$4+('02_Short_Sale'!$B$5*'02_Short_Sale'!$B$6)-('02_Short_Sale'!$B$6*'02_Short_Sale'!$B$8)-('02_Short_Sale'!$B$6*A34))/('02_Short_Sale'!$B$6*A34)</f>
        <v>-6.25E-2</v>
      </c>
    </row>
    <row r="35" spans="1:5">
      <c r="A35" s="14">
        <v>165</v>
      </c>
      <c r="B35" s="15">
        <f>((('01_Long_Margin'!$E$5*A35)-'01_Long_Margin'!$E$4)+('01_Long_Margin'!$E$5*'01_Long_Margin'!$B$8)-'01_Long_Margin'!$E$8)/'01_Long_Margin'!$B$4</f>
        <v>4.5439999999999996</v>
      </c>
      <c r="C35" s="15">
        <f>((('01_Long_Margin'!$E$5*A35)-'01_Long_Margin'!$B$5)/('01_Long_Margin'!$E$5*A35))</f>
        <v>0.84848484848484851</v>
      </c>
      <c r="D35" s="15">
        <f>('02_Short_Sale'!$B$6*('02_Short_Sale'!$B$5-A35)-('02_Short_Sale'!$B$6*'02_Short_Sale'!$B$8))/'02_Short_Sale'!$B$4</f>
        <v>-1.3</v>
      </c>
      <c r="E35" s="16">
        <f>('02_Short_Sale'!$B$4+('02_Short_Sale'!$B$5*'02_Short_Sale'!$B$6)-('02_Short_Sale'!$B$6*'02_Short_Sale'!$B$8)-('02_Short_Sale'!$B$6*A35))/('02_Short_Sale'!$B$6*A35)</f>
        <v>-9.0909090909090912E-2</v>
      </c>
    </row>
    <row r="36" spans="1:5">
      <c r="A36" s="14">
        <v>170</v>
      </c>
      <c r="B36" s="15">
        <f>((('01_Long_Margin'!$E$5*A36)-'01_Long_Margin'!$E$4)+('01_Long_Margin'!$E$5*'01_Long_Margin'!$B$8)-'01_Long_Margin'!$E$8)/'01_Long_Margin'!$B$4</f>
        <v>4.7439999999999998</v>
      </c>
      <c r="C36" s="15">
        <f>((('01_Long_Margin'!$E$5*A36)-'01_Long_Margin'!$B$5)/('01_Long_Margin'!$E$5*A36))</f>
        <v>0.8529411764705882</v>
      </c>
      <c r="D36" s="15">
        <f>('02_Short_Sale'!$B$6*('02_Short_Sale'!$B$5-A36)-('02_Short_Sale'!$B$6*'02_Short_Sale'!$B$8))/'02_Short_Sale'!$B$4</f>
        <v>-1.4</v>
      </c>
      <c r="E36" s="16">
        <f>('02_Short_Sale'!$B$4+('02_Short_Sale'!$B$5*'02_Short_Sale'!$B$6)-('02_Short_Sale'!$B$6*'02_Short_Sale'!$B$8)-('02_Short_Sale'!$B$6*A36))/('02_Short_Sale'!$B$6*A36)</f>
        <v>-0.11764705882352941</v>
      </c>
    </row>
    <row r="37" spans="1:5">
      <c r="A37" s="14">
        <v>175</v>
      </c>
      <c r="B37" s="15">
        <f>((('01_Long_Margin'!$E$5*A37)-'01_Long_Margin'!$E$4)+('01_Long_Margin'!$E$5*'01_Long_Margin'!$B$8)-'01_Long_Margin'!$E$8)/'01_Long_Margin'!$B$4</f>
        <v>4.944</v>
      </c>
      <c r="C37" s="15">
        <f>((('01_Long_Margin'!$E$5*A37)-'01_Long_Margin'!$B$5)/('01_Long_Margin'!$E$5*A37))</f>
        <v>0.8571428571428571</v>
      </c>
      <c r="D37" s="15">
        <f>('02_Short_Sale'!$B$6*('02_Short_Sale'!$B$5-A37)-('02_Short_Sale'!$B$6*'02_Short_Sale'!$B$8))/'02_Short_Sale'!$B$4</f>
        <v>-1.5</v>
      </c>
      <c r="E37" s="16">
        <f>('02_Short_Sale'!$B$4+('02_Short_Sale'!$B$5*'02_Short_Sale'!$B$6)-('02_Short_Sale'!$B$6*'02_Short_Sale'!$B$8)-('02_Short_Sale'!$B$6*A37))/('02_Short_Sale'!$B$6*A37)</f>
        <v>-0.14285714285714285</v>
      </c>
    </row>
    <row r="38" spans="1:5">
      <c r="A38" s="17">
        <v>180</v>
      </c>
      <c r="B38" s="18">
        <f>((('01_Long_Margin'!$E$5*A38)-'01_Long_Margin'!$E$4)+('01_Long_Margin'!$E$5*'01_Long_Margin'!$B$8)-'01_Long_Margin'!$E$8)/'01_Long_Margin'!$B$4</f>
        <v>5.1440000000000001</v>
      </c>
      <c r="C38" s="18">
        <f>((('01_Long_Margin'!$E$5*A38)-'01_Long_Margin'!$B$5)/('01_Long_Margin'!$E$5*A38))</f>
        <v>0.86111111111111116</v>
      </c>
      <c r="D38" s="18">
        <f>('02_Short_Sale'!$B$6*('02_Short_Sale'!$B$5-A38)-('02_Short_Sale'!$B$6*'02_Short_Sale'!$B$8))/'02_Short_Sale'!$B$4</f>
        <v>-1.6</v>
      </c>
      <c r="E38" s="19">
        <f>('02_Short_Sale'!$B$4+('02_Short_Sale'!$B$5*'02_Short_Sale'!$B$6)-('02_Short_Sale'!$B$6*'02_Short_Sale'!$B$8)-('02_Short_Sale'!$B$6*A38))/('02_Short_Sale'!$B$6*A38)</f>
        <v>-0.16666666666666666</v>
      </c>
    </row>
  </sheetData>
  <sheetProtection algorithmName="SHA-512" hashValue="iV4zWcj2AtcgQda9BLcHR0vzFVGG76W4CCM/w+6XGidIBosg7chlHwz7U5U+D84yLRRMXYbLU6iU0iWOLQuJDQ==" saltValue="9upzd+D9oe+OzOLQLACG9g==" spinCount="100000" sheet="1" objects="1" scenarios="1"/>
  <mergeCells count="1">
    <mergeCell ref="A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8"/>
  <sheetViews>
    <sheetView workbookViewId="0">
      <selection activeCell="G4" sqref="G4:J4"/>
    </sheetView>
  </sheetViews>
  <sheetFormatPr defaultRowHeight="14.25"/>
  <cols>
    <col min="1" max="1" width="28" customWidth="1"/>
    <col min="2" max="2" width="16" customWidth="1"/>
    <col min="4" max="4" width="28" customWidth="1"/>
    <col min="5" max="5" width="16" customWidth="1"/>
    <col min="7" max="7" width="48.125" customWidth="1"/>
  </cols>
  <sheetData>
    <row r="1" spans="1:15" ht="27.95" customHeight="1">
      <c r="A1" s="29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4"/>
      <c r="L1" s="24"/>
      <c r="M1" s="24"/>
      <c r="N1" s="24"/>
      <c r="O1" s="24"/>
    </row>
    <row r="3" spans="1:15" ht="15.75">
      <c r="A3" s="1" t="s">
        <v>47</v>
      </c>
      <c r="B3" s="2" t="s">
        <v>2</v>
      </c>
      <c r="D3" s="1" t="s">
        <v>48</v>
      </c>
      <c r="E3" s="2" t="s">
        <v>2</v>
      </c>
      <c r="G3" s="31" t="s">
        <v>70</v>
      </c>
      <c r="H3" s="31"/>
      <c r="I3" s="31"/>
      <c r="J3" s="31"/>
    </row>
    <row r="4" spans="1:15" ht="15">
      <c r="A4" s="3" t="s">
        <v>7</v>
      </c>
      <c r="B4" s="9">
        <f>'01_Long_Margin'!H4</f>
        <v>-0.45600000000000002</v>
      </c>
      <c r="D4" s="3" t="s">
        <v>7</v>
      </c>
      <c r="E4" s="9">
        <f>'02_Short_Sale'!E9</f>
        <v>0.6</v>
      </c>
      <c r="G4" s="30" t="s">
        <v>49</v>
      </c>
      <c r="H4" s="30"/>
      <c r="I4" s="30"/>
      <c r="J4" s="30"/>
    </row>
    <row r="5" spans="1:15" ht="15">
      <c r="A5" s="3" t="s">
        <v>30</v>
      </c>
      <c r="B5" s="9">
        <f>'01_Long_Margin'!H5</f>
        <v>0.375</v>
      </c>
      <c r="D5" s="3" t="s">
        <v>30</v>
      </c>
      <c r="E5" s="9">
        <f>'02_Short_Sale'!E13</f>
        <v>1.1428571428571428</v>
      </c>
      <c r="G5" s="30" t="s">
        <v>50</v>
      </c>
      <c r="H5" s="30"/>
      <c r="I5" s="30"/>
      <c r="J5" s="30"/>
    </row>
    <row r="6" spans="1:15" ht="15">
      <c r="A6" s="3" t="s">
        <v>13</v>
      </c>
      <c r="B6" s="10">
        <f>'01_Long_Margin'!H6</f>
        <v>35.714285714285715</v>
      </c>
      <c r="D6" s="3" t="s">
        <v>13</v>
      </c>
      <c r="E6" s="21">
        <f>'02_Short_Sale'!E14</f>
        <v>115.38461538461539</v>
      </c>
      <c r="G6" s="30" t="s">
        <v>51</v>
      </c>
      <c r="H6" s="30"/>
      <c r="I6" s="30"/>
      <c r="J6" s="30"/>
    </row>
    <row r="7" spans="1:15" ht="15">
      <c r="A7" s="3" t="s">
        <v>16</v>
      </c>
      <c r="B7" s="11">
        <f>'01_Long_Margin'!H7</f>
        <v>2</v>
      </c>
      <c r="D7" s="3" t="s">
        <v>21</v>
      </c>
      <c r="E7" s="21">
        <f>'02_Short_Sale'!E7</f>
        <v>30000</v>
      </c>
      <c r="G7" s="30" t="s">
        <v>52</v>
      </c>
      <c r="H7" s="30"/>
      <c r="I7" s="30"/>
      <c r="J7" s="30"/>
    </row>
    <row r="8" spans="1:15" ht="15">
      <c r="A8" s="4" t="s">
        <v>53</v>
      </c>
      <c r="B8" s="12" t="str">
        <f>'01_Long_Margin'!H8</f>
        <v>Safe</v>
      </c>
      <c r="D8" s="4" t="s">
        <v>53</v>
      </c>
      <c r="E8" s="12" t="str">
        <f>'02_Short_Sale'!E15</f>
        <v>Safe</v>
      </c>
      <c r="G8" s="30" t="s">
        <v>54</v>
      </c>
      <c r="H8" s="30"/>
      <c r="I8" s="30"/>
      <c r="J8" s="30"/>
    </row>
  </sheetData>
  <sheetProtection algorithmName="SHA-512" hashValue="YSp18JF/NOJMifnIDxfDBx17ij4MvY8ovWM/Shk2cFe1WQqJ9WIUoEunsL5oMqJpVpi5OAIJCYV9jtwlisMzZw==" saltValue="UlzxLxJY9nQb9Mov7nnu8A==" spinCount="100000" sheet="1" objects="1" scenarios="1"/>
  <mergeCells count="7">
    <mergeCell ref="G7:J7"/>
    <mergeCell ref="G8:J8"/>
    <mergeCell ref="A1:J1"/>
    <mergeCell ref="G3:J3"/>
    <mergeCell ref="G4:J4"/>
    <mergeCell ref="G5:J5"/>
    <mergeCell ref="G6:J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9"/>
  <sheetViews>
    <sheetView workbookViewId="0">
      <selection activeCell="B29" sqref="B29"/>
    </sheetView>
  </sheetViews>
  <sheetFormatPr defaultRowHeight="14.25"/>
  <cols>
    <col min="1" max="1" width="28" customWidth="1"/>
    <col min="2" max="2" width="75.625" customWidth="1"/>
    <col min="4" max="4" width="28" customWidth="1"/>
    <col min="5" max="5" width="16" customWidth="1"/>
  </cols>
  <sheetData>
    <row r="1" spans="1:15">
      <c r="A1" s="29" t="s">
        <v>55</v>
      </c>
      <c r="B1" s="29"/>
      <c r="C1" s="29"/>
      <c r="D1" s="29"/>
      <c r="E1" s="29"/>
      <c r="F1" s="29"/>
      <c r="G1" s="24"/>
      <c r="H1" s="24"/>
      <c r="I1" s="24"/>
      <c r="J1" s="24"/>
      <c r="K1" s="24"/>
      <c r="L1" s="24"/>
      <c r="M1" s="24"/>
      <c r="N1" s="24"/>
      <c r="O1" s="24"/>
    </row>
    <row r="3" spans="1:15" ht="15.75">
      <c r="A3" s="1" t="s">
        <v>56</v>
      </c>
      <c r="B3" s="2" t="s">
        <v>57</v>
      </c>
    </row>
    <row r="4" spans="1:15" ht="28.5">
      <c r="A4" s="3" t="s">
        <v>58</v>
      </c>
      <c r="B4" s="22" t="s">
        <v>59</v>
      </c>
    </row>
    <row r="5" spans="1:15" ht="15">
      <c r="A5" s="3" t="s">
        <v>60</v>
      </c>
      <c r="B5" s="22" t="s">
        <v>61</v>
      </c>
    </row>
    <row r="6" spans="1:15" ht="28.5">
      <c r="A6" s="3" t="s">
        <v>62</v>
      </c>
      <c r="B6" s="22" t="s">
        <v>63</v>
      </c>
    </row>
    <row r="7" spans="1:15" ht="28.5">
      <c r="A7" s="3" t="s">
        <v>64</v>
      </c>
      <c r="B7" s="22" t="s">
        <v>65</v>
      </c>
    </row>
    <row r="8" spans="1:15" ht="42.75">
      <c r="A8" s="3" t="s">
        <v>66</v>
      </c>
      <c r="B8" s="22" t="s">
        <v>67</v>
      </c>
    </row>
    <row r="9" spans="1:15" ht="28.5">
      <c r="A9" s="4" t="s">
        <v>68</v>
      </c>
      <c r="B9" s="23" t="s">
        <v>69</v>
      </c>
    </row>
  </sheetData>
  <sheetProtection algorithmName="SHA-512" hashValue="AhYbHD17121t2T4oSn24hgHaBL4UXqLb16xSY27d5vk8Y8SOgquJWbD+omIhl5qmL500wUxju4lcyWgrgTYFGA==" saltValue="t+WUjwrRU1Bk+5UOsYUafQ==" spinCount="100000" sheet="1" objects="1" scenarios="1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01_Long_Margin</vt:lpstr>
      <vt:lpstr>02_Short_Sale</vt:lpstr>
      <vt:lpstr>03_Sensitivity</vt:lpstr>
      <vt:lpstr>04_Dashboard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Vb 3856</cp:lastModifiedBy>
  <dcterms:modified xsi:type="dcterms:W3CDTF">2026-07-11T10:45:10Z</dcterms:modified>
</cp:coreProperties>
</file>